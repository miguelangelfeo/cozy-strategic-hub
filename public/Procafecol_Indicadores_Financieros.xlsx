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abe\Downloads\"/>
    </mc:Choice>
  </mc:AlternateContent>
  <xr:revisionPtr revIDLastSave="0" documentId="13_ncr:1_{43F533D0-4AC8-400D-8022-7FEE5B33EFE5}" xr6:coauthVersionLast="47" xr6:coauthVersionMax="47" xr10:uidLastSave="{00000000-0000-0000-0000-000000000000}"/>
  <bookViews>
    <workbookView xWindow="-98" yWindow="-98" windowWidth="21795" windowHeight="12975" tabRatio="500" activeTab="2" xr2:uid="{00000000-000D-0000-FFFF-FFFF00000000}"/>
  </bookViews>
  <sheets>
    <sheet name="Datos Históricos" sheetId="1" r:id="rId1"/>
    <sheet name="Indicadores" sheetId="2" r:id="rId2"/>
    <sheet name="Proyección 2023-2030" sheetId="3" r:id="rId3"/>
    <sheet name="Glosa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5" i="3" l="1"/>
  <c r="B54" i="3"/>
  <c r="B53" i="3"/>
  <c r="B52" i="3"/>
  <c r="B51" i="3"/>
  <c r="B50" i="3"/>
  <c r="B49" i="3"/>
  <c r="B48" i="3"/>
  <c r="C28" i="3"/>
  <c r="C27" i="3"/>
  <c r="D27" i="3" s="1"/>
  <c r="D36" i="2"/>
  <c r="C36" i="2"/>
  <c r="B7" i="2"/>
  <c r="C6" i="2"/>
  <c r="D6" i="2"/>
  <c r="E6" i="2"/>
  <c r="F6" i="2"/>
  <c r="B6" i="2"/>
  <c r="J54" i="3"/>
  <c r="I54" i="3"/>
  <c r="H54" i="3"/>
  <c r="G54" i="3"/>
  <c r="F54" i="3"/>
  <c r="E54" i="3"/>
  <c r="D54" i="3"/>
  <c r="C54" i="3"/>
  <c r="J48" i="3"/>
  <c r="I48" i="3"/>
  <c r="H48" i="3"/>
  <c r="G48" i="3"/>
  <c r="F48" i="3"/>
  <c r="E48" i="3"/>
  <c r="D48" i="3"/>
  <c r="C48" i="3"/>
  <c r="J47" i="3"/>
  <c r="I47" i="3"/>
  <c r="H47" i="3"/>
  <c r="G47" i="3"/>
  <c r="F47" i="3"/>
  <c r="E47" i="3"/>
  <c r="D47" i="3"/>
  <c r="C47" i="3"/>
  <c r="B44" i="3"/>
  <c r="B43" i="3"/>
  <c r="B42" i="3"/>
  <c r="B41" i="3"/>
  <c r="B40" i="3"/>
  <c r="B39" i="3"/>
  <c r="B38" i="3"/>
  <c r="B35" i="3"/>
  <c r="B32" i="3"/>
  <c r="B31" i="3"/>
  <c r="B30" i="3"/>
  <c r="B29" i="3"/>
  <c r="B28" i="3"/>
  <c r="B27" i="3"/>
  <c r="F36" i="2"/>
  <c r="E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F31" i="2"/>
  <c r="E31" i="2"/>
  <c r="D31" i="2"/>
  <c r="C31" i="2"/>
  <c r="B31" i="2"/>
  <c r="F30" i="2"/>
  <c r="E30" i="2"/>
  <c r="D30" i="2"/>
  <c r="C30" i="2"/>
  <c r="B30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0" i="2"/>
  <c r="E20" i="2"/>
  <c r="D20" i="2"/>
  <c r="C20" i="2"/>
  <c r="B20" i="2"/>
  <c r="F19" i="2"/>
  <c r="E19" i="2"/>
  <c r="D19" i="2"/>
  <c r="C19" i="2"/>
  <c r="B19" i="2"/>
  <c r="F18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C30" i="3" l="1"/>
  <c r="C38" i="3"/>
  <c r="C40" i="3"/>
  <c r="C41" i="3"/>
  <c r="C32" i="3"/>
  <c r="C39" i="3" l="1"/>
  <c r="C43" i="3"/>
  <c r="C29" i="3"/>
  <c r="C31" i="3" s="1"/>
  <c r="C42" i="3"/>
  <c r="C53" i="3" s="1"/>
  <c r="C44" i="3"/>
  <c r="D38" i="3"/>
  <c r="D28" i="3"/>
  <c r="D29" i="3" s="1"/>
  <c r="D30" i="3"/>
  <c r="D41" i="3"/>
  <c r="D32" i="3"/>
  <c r="D40" i="3"/>
  <c r="E27" i="3"/>
  <c r="D31" i="3" l="1"/>
  <c r="C33" i="3"/>
  <c r="C55" i="3"/>
  <c r="C49" i="3"/>
  <c r="E28" i="3"/>
  <c r="E32" i="3"/>
  <c r="E30" i="3"/>
  <c r="E41" i="3"/>
  <c r="E38" i="3"/>
  <c r="F27" i="3"/>
  <c r="E40" i="3"/>
  <c r="D49" i="3"/>
  <c r="D55" i="3"/>
  <c r="D33" i="3"/>
  <c r="D39" i="3"/>
  <c r="D43" i="3"/>
  <c r="D42" i="3"/>
  <c r="D53" i="3" s="1"/>
  <c r="D44" i="3" l="1"/>
  <c r="E39" i="3"/>
  <c r="E43" i="3"/>
  <c r="C34" i="3"/>
  <c r="C35" i="3" s="1"/>
  <c r="D34" i="3"/>
  <c r="D35" i="3" s="1"/>
  <c r="F28" i="3"/>
  <c r="F29" i="3" s="1"/>
  <c r="F30" i="3"/>
  <c r="F41" i="3"/>
  <c r="F32" i="3"/>
  <c r="F40" i="3"/>
  <c r="G27" i="3"/>
  <c r="F38" i="3"/>
  <c r="E42" i="3"/>
  <c r="E53" i="3" s="1"/>
  <c r="E44" i="3"/>
  <c r="E29" i="3"/>
  <c r="E31" i="3" s="1"/>
  <c r="D51" i="3" l="1"/>
  <c r="D50" i="3"/>
  <c r="D52" i="3"/>
  <c r="C51" i="3"/>
  <c r="C52" i="3"/>
  <c r="C50" i="3"/>
  <c r="E55" i="3"/>
  <c r="E33" i="3"/>
  <c r="E49" i="3"/>
  <c r="F42" i="3"/>
  <c r="F53" i="3" s="1"/>
  <c r="G30" i="3"/>
  <c r="G41" i="3"/>
  <c r="G32" i="3"/>
  <c r="G28" i="3"/>
  <c r="G29" i="3" s="1"/>
  <c r="G31" i="3" s="1"/>
  <c r="G38" i="3"/>
  <c r="G40" i="3"/>
  <c r="H27" i="3"/>
  <c r="F31" i="3"/>
  <c r="F39" i="3"/>
  <c r="F43" i="3"/>
  <c r="F44" i="3" l="1"/>
  <c r="G49" i="3"/>
  <c r="G55" i="3"/>
  <c r="G33" i="3"/>
  <c r="E34" i="3"/>
  <c r="E35" i="3" s="1"/>
  <c r="F49" i="3"/>
  <c r="F33" i="3"/>
  <c r="F55" i="3"/>
  <c r="H30" i="3"/>
  <c r="H41" i="3"/>
  <c r="H28" i="3"/>
  <c r="H29" i="3" s="1"/>
  <c r="H31" i="3" s="1"/>
  <c r="H32" i="3"/>
  <c r="I27" i="3"/>
  <c r="H40" i="3"/>
  <c r="H38" i="3"/>
  <c r="G42" i="3"/>
  <c r="G53" i="3" s="1"/>
  <c r="G39" i="3"/>
  <c r="G43" i="3"/>
  <c r="E50" i="3" l="1"/>
  <c r="E51" i="3"/>
  <c r="E52" i="3"/>
  <c r="G34" i="3"/>
  <c r="G35" i="3" s="1"/>
  <c r="G44" i="3"/>
  <c r="H55" i="3"/>
  <c r="H49" i="3"/>
  <c r="H33" i="3"/>
  <c r="H42" i="3"/>
  <c r="H53" i="3" s="1"/>
  <c r="H44" i="3"/>
  <c r="I41" i="3"/>
  <c r="I32" i="3"/>
  <c r="J27" i="3"/>
  <c r="I28" i="3"/>
  <c r="I29" i="3" s="1"/>
  <c r="I30" i="3"/>
  <c r="I38" i="3"/>
  <c r="I40" i="3"/>
  <c r="H43" i="3"/>
  <c r="H39" i="3"/>
  <c r="F34" i="3"/>
  <c r="F35" i="3" s="1"/>
  <c r="I31" i="3" l="1"/>
  <c r="I55" i="3" s="1"/>
  <c r="G50" i="3"/>
  <c r="G51" i="3"/>
  <c r="G52" i="3"/>
  <c r="F50" i="3"/>
  <c r="F51" i="3"/>
  <c r="F52" i="3"/>
  <c r="I42" i="3"/>
  <c r="I53" i="3" s="1"/>
  <c r="I43" i="3"/>
  <c r="I39" i="3"/>
  <c r="J32" i="3"/>
  <c r="J30" i="3"/>
  <c r="J38" i="3"/>
  <c r="J28" i="3"/>
  <c r="J41" i="3"/>
  <c r="J40" i="3"/>
  <c r="H34" i="3"/>
  <c r="H35" i="3" s="1"/>
  <c r="I49" i="3" l="1"/>
  <c r="I33" i="3"/>
  <c r="H50" i="3"/>
  <c r="H52" i="3"/>
  <c r="H51" i="3"/>
  <c r="J43" i="3"/>
  <c r="J39" i="3"/>
  <c r="I34" i="3"/>
  <c r="I35" i="3" s="1"/>
  <c r="J29" i="3"/>
  <c r="J31" i="3" s="1"/>
  <c r="J42" i="3"/>
  <c r="J53" i="3" s="1"/>
  <c r="I44" i="3"/>
  <c r="I50" i="3" l="1"/>
  <c r="I52" i="3"/>
  <c r="I51" i="3"/>
  <c r="J44" i="3"/>
  <c r="J55" i="3"/>
  <c r="J33" i="3"/>
  <c r="J49" i="3"/>
  <c r="J34" i="3" l="1"/>
  <c r="J35" i="3" s="1"/>
  <c r="J50" i="3" l="1"/>
  <c r="J52" i="3"/>
  <c r="J51" i="3"/>
</calcChain>
</file>

<file path=xl/sharedStrings.xml><?xml version="1.0" encoding="utf-8"?>
<sst xmlns="http://schemas.openxmlformats.org/spreadsheetml/2006/main" count="271" uniqueCount="235">
  <si>
    <t>PROCAFECOL S.A. — ESTADOS FINANCIEROS HISTÓRICOS</t>
  </si>
  <si>
    <t>Concepto</t>
  </si>
  <si>
    <t>2018</t>
  </si>
  <si>
    <t>2019</t>
  </si>
  <si>
    <t>2020</t>
  </si>
  <si>
    <t>2021</t>
  </si>
  <si>
    <t>2022</t>
  </si>
  <si>
    <t xml:space="preserve">  ESTADO DE RESULTADOS</t>
  </si>
  <si>
    <t>Ingresos Netos por Ventas</t>
  </si>
  <si>
    <t>Costo de Mercancías Vendidas (CMV)</t>
  </si>
  <si>
    <t>Utilidad Bruta</t>
  </si>
  <si>
    <t>Gastos Operativos (Admin + Venta)</t>
  </si>
  <si>
    <t>Gastos Depreciación / Amortización</t>
  </si>
  <si>
    <t>Otros Resultados Operativos Netos</t>
  </si>
  <si>
    <t>EBIT (Ganancia Operativa)</t>
  </si>
  <si>
    <t>EBITDA</t>
  </si>
  <si>
    <t>Gastos Financieros (Intereses)</t>
  </si>
  <si>
    <t>Ingresos Financieros</t>
  </si>
  <si>
    <t>Ganancias Antes de Impuestos</t>
  </si>
  <si>
    <t>Impuesto a la Renta</t>
  </si>
  <si>
    <t>UTILIDAD NETA</t>
  </si>
  <si>
    <t xml:space="preserve">  BALANCE GENERAL</t>
  </si>
  <si>
    <t xml:space="preserve">  — ACTIVOS —</t>
  </si>
  <si>
    <t>Activos Totales</t>
  </si>
  <si>
    <t xml:space="preserve">  Activos No Corrientes</t>
  </si>
  <si>
    <t xml:space="preserve">    Propiedad, Planta y Equipo</t>
  </si>
  <si>
    <t xml:space="preserve">    Activos Intangibles</t>
  </si>
  <si>
    <t xml:space="preserve">    Activos Financieros LP</t>
  </si>
  <si>
    <t xml:space="preserve">    Otros Activos No Corrientes</t>
  </si>
  <si>
    <t xml:space="preserve">  Activos Corrientes</t>
  </si>
  <si>
    <t xml:space="preserve">    Inventarios</t>
  </si>
  <si>
    <t xml:space="preserve">    Cuentas por Cobrar</t>
  </si>
  <si>
    <t xml:space="preserve">    Efectivo y Equivalentes</t>
  </si>
  <si>
    <t xml:space="preserve">    Otros Activos Corrientes</t>
  </si>
  <si>
    <t xml:space="preserve">  — PASIVOS Y PATRIMONIO —</t>
  </si>
  <si>
    <t>Pasivos Totales</t>
  </si>
  <si>
    <t xml:space="preserve">  Pasivos No Corrientes</t>
  </si>
  <si>
    <t xml:space="preserve">    Deuda LP (Créditos y Préstamos NC)</t>
  </si>
  <si>
    <t xml:space="preserve">    Otros Pasivos No Corrientes</t>
  </si>
  <si>
    <t xml:space="preserve">  Pasivos Corrientes</t>
  </si>
  <si>
    <t xml:space="preserve">    Deuda CP (Créditos y Préstamos C)</t>
  </si>
  <si>
    <t xml:space="preserve">    Cuentas por Pagar</t>
  </si>
  <si>
    <t xml:space="preserve">    Otros Pasivos Corrientes</t>
  </si>
  <si>
    <t>Patrimonio Total</t>
  </si>
  <si>
    <t xml:space="preserve">  Capital Suscrito</t>
  </si>
  <si>
    <t xml:space="preserve">  Resultados Acumulados</t>
  </si>
  <si>
    <t>PROCAFECOL S.A. — TABLERO DE INDICADORES FINANCIEROS</t>
  </si>
  <si>
    <t>Indicador</t>
  </si>
  <si>
    <t>Referencia / Meta</t>
  </si>
  <si>
    <t xml:space="preserve">  1. LIQUIDEZ</t>
  </si>
  <si>
    <t>Razón Corriente  (AC / PC)</t>
  </si>
  <si>
    <t>&gt;1.5x — Cuántos $ de AC por cada $ de PC</t>
  </si>
  <si>
    <t>Prueba Ácida  ((AC - Inv) / PC)</t>
  </si>
  <si>
    <t>&gt;1.0x — Sin contar inventarios</t>
  </si>
  <si>
    <t>Razón de Efectivo  (Efe / PC)</t>
  </si>
  <si>
    <t>&gt;0.2x — Lo más conservador</t>
  </si>
  <si>
    <t>Capital de Trabajo Neto  (AC - PC) M COP</t>
  </si>
  <si>
    <t>Positivo = puede operar. Negativo = riesgo</t>
  </si>
  <si>
    <t xml:space="preserve">  2. ENDEUDAMIENTO</t>
  </si>
  <si>
    <t>Nivel de Endeudamiento  (PT / AT)</t>
  </si>
  <si>
    <t>&lt;0.60 saludable. &gt;0.80 riesgo alto</t>
  </si>
  <si>
    <t>Endeudamiento sobre Patrimonio  (PT / PAT)</t>
  </si>
  <si>
    <t>&lt;2.0x recomendado para expansión</t>
  </si>
  <si>
    <t>Concentración Deuda CP  (PC / PT)</t>
  </si>
  <si>
    <t>&lt;50% indica estructura de deuda sana</t>
  </si>
  <si>
    <t>Deuda Financiera Total  (DCP + DLP) M COP</t>
  </si>
  <si>
    <t>Evolución de la deuda con costo</t>
  </si>
  <si>
    <t xml:space="preserve">  3. APALANCAMIENTO / COBERTURA</t>
  </si>
  <si>
    <t>Deuda Neta / EBITDA  (solo 2022 con EBITDA)</t>
  </si>
  <si>
    <t>&lt;3x para expansión sostenible</t>
  </si>
  <si>
    <t>Cobertura de Intereses  (EBIT / GF)</t>
  </si>
  <si>
    <t>&gt;2.5x ideal. &lt;1.5x es peligroso</t>
  </si>
  <si>
    <t>Deuda LP / Activos Totales</t>
  </si>
  <si>
    <t>Muestra qué parte de los activos se financió con deuda LP</t>
  </si>
  <si>
    <t xml:space="preserve">  4. EFICIENCIA</t>
  </si>
  <si>
    <t>Rotación de Activos  (Ventas / AT)</t>
  </si>
  <si>
    <t>&gt;1.0x: genera más de $1 en ventas por cada $1 de activo</t>
  </si>
  <si>
    <t>Rotación de Inventarios  (CMV / Inv)</t>
  </si>
  <si>
    <t>&gt;6x anual para café (cada ~60 días)</t>
  </si>
  <si>
    <t>Días de Inventario  (365 / RotInv)</t>
  </si>
  <si>
    <t>&lt;60 días ideal para café</t>
  </si>
  <si>
    <t>Días de Cartera  (CxC / Ventas × 365)</t>
  </si>
  <si>
    <t>&lt;45 días. Más alto = tarda más en cobrar</t>
  </si>
  <si>
    <t>Días de Pago  (CxP / CMV × 365)</t>
  </si>
  <si>
    <t>&gt;30 días. Más alto = más tiempo para pagar proveedores</t>
  </si>
  <si>
    <t xml:space="preserve">  5. RENTABILIDAD</t>
  </si>
  <si>
    <t>Margen Bruto  (UB / Ventas)</t>
  </si>
  <si>
    <t>&gt;50% en specialty coffee es bueno</t>
  </si>
  <si>
    <t>Margen EBIT  (EBIT / Ventas)</t>
  </si>
  <si>
    <t>Meta expansión: &gt;8%. 2022 es base</t>
  </si>
  <si>
    <t>Margen EBITDA  (EBITDA / Ventas — solo 2022)</t>
  </si>
  <si>
    <t>Meta: &gt;15% a medida que escale internacional</t>
  </si>
  <si>
    <t>Margen Neto  (UN / Ventas)</t>
  </si>
  <si>
    <t>Meta sostenida: &gt;5%</t>
  </si>
  <si>
    <t>ROA  (UN / Activos Totales)</t>
  </si>
  <si>
    <t>&gt;5% en expansión es referencia</t>
  </si>
  <si>
    <t>ROE  (UN / Patrimonio Total)</t>
  </si>
  <si>
    <t>&gt;10% para atraer inversión. Ojo: pat. negativo en 2020</t>
  </si>
  <si>
    <t>Crecimiento Ventas YoY</t>
  </si>
  <si>
    <t>&gt;15% para goal expansión 2030</t>
  </si>
  <si>
    <t>PROCAFECOL S.A. — PROYECCIÓN FINANCIERA 2023–2030</t>
  </si>
  <si>
    <t xml:space="preserve">  SUPUESTOS EDITABLES (cambiar estos valores actualiza toda la proyección)</t>
  </si>
  <si>
    <t>Crecimiento ventas 2023 (efecto JV Turquía + base)</t>
  </si>
  <si>
    <t>Crecimiento ventas 2024</t>
  </si>
  <si>
    <t>Crecimiento ventas 2025 (España+EE.UU. activos)</t>
  </si>
  <si>
    <t>Crecimiento ventas 2026</t>
  </si>
  <si>
    <t>Crecimiento ventas 2027</t>
  </si>
  <si>
    <t>Crecimiento ventas 2028</t>
  </si>
  <si>
    <t>Crecimiento ventas 2029</t>
  </si>
  <si>
    <t>Crecimiento ventas 2030 (meta doble revenue)</t>
  </si>
  <si>
    <t>Margen Bruto (% sobre ventas)</t>
  </si>
  <si>
    <t>Gastos Operativos (% sobre ventas)</t>
  </si>
  <si>
    <t>Gastos Financieros (% sobre ventas)</t>
  </si>
  <si>
    <t>Tasa efectiva de impuestos</t>
  </si>
  <si>
    <t>Activos Totales como % de Ventas</t>
  </si>
  <si>
    <t>Deuda Financiera Total como % de Activos</t>
  </si>
  <si>
    <t>Efectivo como % de Ventas</t>
  </si>
  <si>
    <t>Inventarios como % de CMV</t>
  </si>
  <si>
    <t>Cuentas por Cobrar como % de Ventas</t>
  </si>
  <si>
    <t>Cuentas por Pagar como % de CMV</t>
  </si>
  <si>
    <t>Patrimonio = Activos - Pasivos (calculado)</t>
  </si>
  <si>
    <t>↓ calculado</t>
  </si>
  <si>
    <t>2022 (Base)</t>
  </si>
  <si>
    <t>2023</t>
  </si>
  <si>
    <t>2024</t>
  </si>
  <si>
    <t>2025</t>
  </si>
  <si>
    <t>2026</t>
  </si>
  <si>
    <t>2027</t>
  </si>
  <si>
    <t>2028</t>
  </si>
  <si>
    <t>2029</t>
  </si>
  <si>
    <t>2030</t>
  </si>
  <si>
    <t xml:space="preserve">  ESTADO DE RESULTADOS PROYECTADO</t>
  </si>
  <si>
    <t>Costo de Mercancías Vendidas</t>
  </si>
  <si>
    <t>Gastos Operativos</t>
  </si>
  <si>
    <t>EBIT</t>
  </si>
  <si>
    <t>Gastos Financieros</t>
  </si>
  <si>
    <t>EBT (Antes de Impuestos)</t>
  </si>
  <si>
    <t>Impuesto (estimado)</t>
  </si>
  <si>
    <t xml:space="preserve">  BALANCE PROYECTADO</t>
  </si>
  <si>
    <t>Inventarios</t>
  </si>
  <si>
    <t>Cuentas por Cobrar</t>
  </si>
  <si>
    <t>Efectivo</t>
  </si>
  <si>
    <t>Deuda Financiera Total</t>
  </si>
  <si>
    <t>Cuentas por Pagar</t>
  </si>
  <si>
    <t>Patrimonio Estimado (AT - Pasivos)</t>
  </si>
  <si>
    <t xml:space="preserve">  INDICADORES PROYECTADOS</t>
  </si>
  <si>
    <t>Margen Bruto</t>
  </si>
  <si>
    <t>Margen EBIT</t>
  </si>
  <si>
    <t>Margen Neto</t>
  </si>
  <si>
    <t>ROA</t>
  </si>
  <si>
    <t>ROE</t>
  </si>
  <si>
    <t>Deuda/Activos</t>
  </si>
  <si>
    <t>Endeudamiento (PT/AT)</t>
  </si>
  <si>
    <t>Cobertura Intereses (EBIT/GF)</t>
  </si>
  <si>
    <t>GLOSARIO DE INDICADORES — GUÍA DE LECTURA</t>
  </si>
  <si>
    <t>¿Qué mide?</t>
  </si>
  <si>
    <t>Fórmula</t>
  </si>
  <si>
    <t>Señal de Alerta</t>
  </si>
  <si>
    <t>Razón Corriente</t>
  </si>
  <si>
    <t>¿Puede pagar deudas corto plazo con activos cortos?</t>
  </si>
  <si>
    <t>AC / PC</t>
  </si>
  <si>
    <t>&gt;1.5x. &lt;1.0x = riesgo de iliquidez</t>
  </si>
  <si>
    <t>Prueba Ácida</t>
  </si>
  <si>
    <t>(AC - Inv) / PC</t>
  </si>
  <si>
    <t>&gt;1.0x ideal</t>
  </si>
  <si>
    <t>Razón de Efectivo</t>
  </si>
  <si>
    <t>¿Con solo el efectivo puede cubrir pasivos corrientes?</t>
  </si>
  <si>
    <t>Efectivo / PC</t>
  </si>
  <si>
    <t>&gt;0.2x mínimo</t>
  </si>
  <si>
    <t>Capital de Trabajo</t>
  </si>
  <si>
    <t>Margen de seguridad operativo en pesos</t>
  </si>
  <si>
    <t>AC - PC</t>
  </si>
  <si>
    <t>Positivo siempre. Negativo = problema</t>
  </si>
  <si>
    <t>Nivel Endeudamiento</t>
  </si>
  <si>
    <t>% de los activos financiado con deuda</t>
  </si>
  <si>
    <t>Pasivos / Activos</t>
  </si>
  <si>
    <t>&lt;60%. &gt;80% = muy apalancada</t>
  </si>
  <si>
    <t>Deuda/Patrimonio (D/E)</t>
  </si>
  <si>
    <t>Cuántos pesos de deuda por cada peso propio</t>
  </si>
  <si>
    <t>Pasivos / Patrimonio</t>
  </si>
  <si>
    <t>&lt;2.0x para expansión</t>
  </si>
  <si>
    <t>Concentración Deuda CP</t>
  </si>
  <si>
    <t>¿Qué % de la deuda vence en menos de 1 año?</t>
  </si>
  <si>
    <t>PC / Pasivos Totales</t>
  </si>
  <si>
    <t>&lt;50% saludable</t>
  </si>
  <si>
    <t>Deuda Neta/EBITDA</t>
  </si>
  <si>
    <t>Años que tomaría pagar la deuda con el EBITDA</t>
  </si>
  <si>
    <t>(Deuda - Efe) / EBITDA</t>
  </si>
  <si>
    <t>&lt;3x para expansión internacional</t>
  </si>
  <si>
    <t>Cobertura de Intereses</t>
  </si>
  <si>
    <t>¿Cuántas veces cubre el EBIT los intereses?</t>
  </si>
  <si>
    <t>EBIT / Gastos Financieros</t>
  </si>
  <si>
    <t>&gt;2.5x ideal. &lt;1.5x peligroso</t>
  </si>
  <si>
    <t>Rotación de Activos</t>
  </si>
  <si>
    <t>¿Cuántas veces vende por cada peso en activos?</t>
  </si>
  <si>
    <t>Ventas / Activos Totales</t>
  </si>
  <si>
    <t>&gt;1.0x deseado</t>
  </si>
  <si>
    <t>Días de Inventario</t>
  </si>
  <si>
    <t>¿Cuántos días tarda en vender el inventario?</t>
  </si>
  <si>
    <t>365 / Rotación Inventarios</t>
  </si>
  <si>
    <t>&lt;60 días para café</t>
  </si>
  <si>
    <t>Días de Cartera</t>
  </si>
  <si>
    <t>¿Cuántos días tarda en cobrar a clientes?</t>
  </si>
  <si>
    <t>(CxC / Ventas) × 365</t>
  </si>
  <si>
    <t>&lt;45 días</t>
  </si>
  <si>
    <t>Días de Pago</t>
  </si>
  <si>
    <t>¿Cuántos días tarda en pagar a proveedores?</t>
  </si>
  <si>
    <t>(CxP / CMV) × 365</t>
  </si>
  <si>
    <t>&gt;30 días (más días = mejor para caja)</t>
  </si>
  <si>
    <t>% de ventas que queda después del costo del producto</t>
  </si>
  <si>
    <t>UB / Ventas</t>
  </si>
  <si>
    <t>&gt;50% en specialty coffee</t>
  </si>
  <si>
    <t>% de ventas que queda en operación (antes de impuestos)</t>
  </si>
  <si>
    <t>EBIT / Ventas</t>
  </si>
  <si>
    <t>&gt;8% en expansión</t>
  </si>
  <si>
    <t>Margen EBITDA</t>
  </si>
  <si>
    <t>Eficiencia operativa sin depreciar ni amortizar</t>
  </si>
  <si>
    <t>EBITDA / Ventas</t>
  </si>
  <si>
    <t>&gt;15% meta internacional</t>
  </si>
  <si>
    <t>% de ventas que queda como ganancia final</t>
  </si>
  <si>
    <t>UN / Ventas</t>
  </si>
  <si>
    <t>&gt;5% sostenido</t>
  </si>
  <si>
    <t>Qué tan bien usa todos sus activos para generar utilidad</t>
  </si>
  <si>
    <t>UN / Activos Totales</t>
  </si>
  <si>
    <t>&gt;5%</t>
  </si>
  <si>
    <t>Retorno para los dueños (caficultores)</t>
  </si>
  <si>
    <t>UN / Patrimonio</t>
  </si>
  <si>
    <t>&gt;10% para atraer inversión</t>
  </si>
  <si>
    <t>Variación porcentual de ventas vs. año anterior</t>
  </si>
  <si>
    <t>(Ventas t / Ventas t-1) - 1</t>
  </si>
  <si>
    <t>&gt;15% para meta doble revenue 2030</t>
  </si>
  <si>
    <t>Todos los ratios calculados desde datos históricos |  Cifras en Millones COP</t>
  </si>
  <si>
    <t>Fuente: ISI Markets / Superfinanciera — NIIF  |  Cifras en Millones COP</t>
  </si>
  <si>
    <t>Cifras en Millones COP  |  Cambiar los supuestos en columna B o en las celdas azules</t>
  </si>
  <si>
    <t>¿Qué tánta liquidez depende de los inventarios (activo menos líquido)?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</si>
</sst>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 &quot;#,##0.0;&quot;($ &quot;#,##0.0\);\-"/>
    <numFmt numFmtId="165" formatCode="0.00\x"/>
    <numFmt numFmtId="166" formatCode="&quot;$ &quot;#,##0;&quot;($ &quot;#,##0\);\-"/>
    <numFmt numFmtId="167" formatCode="0.0%;\(0.0%\);\-"/>
    <numFmt numFmtId="168" formatCode="0.0&quot; días&quot;"/>
    <numFmt numFmtId="169" formatCode="0.0%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A5A5A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2C2C2C"/>
      <name val="Arial"/>
      <family val="2"/>
    </font>
    <font>
      <sz val="9"/>
      <color rgb="FF0000FF"/>
      <name val="Arial"/>
      <family val="2"/>
    </font>
    <font>
      <b/>
      <sz val="9"/>
      <color rgb="FF2C2C2C"/>
      <name val="Arial"/>
      <family val="2"/>
    </font>
    <font>
      <b/>
      <sz val="9"/>
      <color rgb="FF0000FF"/>
      <name val="Arial"/>
      <family val="2"/>
    </font>
    <font>
      <sz val="9"/>
      <color rgb="FF000000"/>
      <name val="Arial"/>
      <family val="2"/>
    </font>
    <font>
      <i/>
      <sz val="8"/>
      <color rgb="FF5A5A5A"/>
      <name val="Arial"/>
      <family val="2"/>
    </font>
    <font>
      <sz val="9"/>
      <color rgb="FF006400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2C2C2C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7D7D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165" fontId="10" fillId="4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indent="1"/>
    </xf>
    <xf numFmtId="165" fontId="10" fillId="6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 wrapText="1"/>
    </xf>
    <xf numFmtId="166" fontId="10" fillId="6" borderId="1" xfId="0" applyNumberFormat="1" applyFont="1" applyFill="1" applyBorder="1" applyAlignment="1">
      <alignment horizontal="right" vertical="center"/>
    </xf>
    <xf numFmtId="167" fontId="10" fillId="4" borderId="1" xfId="0" applyNumberFormat="1" applyFont="1" applyFill="1" applyBorder="1" applyAlignment="1">
      <alignment horizontal="right" vertical="center"/>
    </xf>
    <xf numFmtId="168" fontId="10" fillId="6" borderId="1" xfId="0" applyNumberFormat="1" applyFont="1" applyFill="1" applyBorder="1" applyAlignment="1">
      <alignment horizontal="right" vertical="center"/>
    </xf>
    <xf numFmtId="168" fontId="10" fillId="4" borderId="1" xfId="0" applyNumberFormat="1" applyFont="1" applyFill="1" applyBorder="1" applyAlignment="1">
      <alignment horizontal="right" vertical="center"/>
    </xf>
    <xf numFmtId="167" fontId="10" fillId="6" borderId="1" xfId="0" applyNumberFormat="1" applyFont="1" applyFill="1" applyBorder="1" applyAlignment="1">
      <alignment horizontal="right" vertical="center"/>
    </xf>
    <xf numFmtId="0" fontId="0" fillId="2" borderId="0" xfId="0" applyFill="1"/>
    <xf numFmtId="169" fontId="9" fillId="7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2" fillId="4" borderId="1" xfId="0" applyNumberFormat="1" applyFont="1" applyFill="1" applyBorder="1" applyAlignment="1">
      <alignment horizontal="right" vertical="center"/>
    </xf>
    <xf numFmtId="166" fontId="10" fillId="4" borderId="1" xfId="0" applyNumberFormat="1" applyFont="1" applyFill="1" applyBorder="1" applyAlignment="1">
      <alignment horizontal="right" vertical="center"/>
    </xf>
    <xf numFmtId="166" fontId="12" fillId="0" borderId="1" xfId="0" applyNumberFormat="1" applyFont="1" applyBorder="1" applyAlignment="1">
      <alignment horizontal="right" vertical="center"/>
    </xf>
    <xf numFmtId="166" fontId="10" fillId="0" borderId="1" xfId="0" applyNumberFormat="1" applyFont="1" applyBorder="1" applyAlignment="1">
      <alignment horizontal="right" vertical="center"/>
    </xf>
    <xf numFmtId="166" fontId="12" fillId="5" borderId="1" xfId="0" applyNumberFormat="1" applyFont="1" applyFill="1" applyBorder="1" applyAlignment="1">
      <alignment horizontal="right" vertical="center"/>
    </xf>
    <xf numFmtId="166" fontId="13" fillId="5" borderId="1" xfId="0" applyNumberFormat="1" applyFont="1" applyFill="1" applyBorder="1" applyAlignment="1">
      <alignment horizontal="right" vertical="center"/>
    </xf>
    <xf numFmtId="166" fontId="0" fillId="4" borderId="1" xfId="0" applyNumberFormat="1" applyFill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0" fillId="6" borderId="0" xfId="0" applyFill="1"/>
    <xf numFmtId="167" fontId="11" fillId="4" borderId="1" xfId="0" applyNumberFormat="1" applyFont="1" applyFill="1" applyBorder="1" applyAlignment="1">
      <alignment horizontal="right" vertical="center"/>
    </xf>
    <xf numFmtId="167" fontId="11" fillId="0" borderId="1" xfId="0" applyNumberFormat="1" applyFont="1" applyBorder="1" applyAlignment="1">
      <alignment horizontal="right" vertical="center"/>
    </xf>
    <xf numFmtId="167" fontId="10" fillId="0" borderId="1" xfId="0" applyNumberFormat="1" applyFont="1" applyBorder="1" applyAlignment="1">
      <alignment horizontal="right" vertical="center"/>
    </xf>
    <xf numFmtId="165" fontId="11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164" fontId="15" fillId="0" borderId="1" xfId="0" applyNumberFormat="1" applyFont="1" applyBorder="1" applyAlignment="1">
      <alignment horizontal="right" vertical="center"/>
    </xf>
    <xf numFmtId="164" fontId="16" fillId="4" borderId="1" xfId="0" applyNumberFormat="1" applyFont="1" applyFill="1" applyBorder="1" applyAlignment="1">
      <alignment horizontal="right" vertical="center"/>
    </xf>
    <xf numFmtId="164" fontId="16" fillId="5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7DB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baseColWidth="10" defaultColWidth="8.6640625" defaultRowHeight="14.25" x14ac:dyDescent="0.45"/>
  <cols>
    <col min="1" max="1" width="42" customWidth="1"/>
    <col min="2" max="6" width="16" customWidth="1"/>
  </cols>
  <sheetData>
    <row r="1" spans="1:6" ht="36" customHeight="1" x14ac:dyDescent="0.45">
      <c r="A1" s="4" t="s">
        <v>0</v>
      </c>
      <c r="B1" s="4"/>
      <c r="C1" s="4"/>
      <c r="D1" s="4"/>
      <c r="E1" s="4"/>
      <c r="F1" s="4"/>
    </row>
    <row r="2" spans="1:6" x14ac:dyDescent="0.45">
      <c r="A2" s="3" t="s">
        <v>232</v>
      </c>
      <c r="B2" s="3"/>
      <c r="C2" s="3"/>
      <c r="D2" s="3"/>
      <c r="E2" s="3"/>
      <c r="F2" s="3"/>
    </row>
    <row r="4" spans="1:6" ht="21.75" customHeight="1" x14ac:dyDescent="0.4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</row>
    <row r="5" spans="1:6" ht="16.5" customHeight="1" x14ac:dyDescent="0.45">
      <c r="A5" s="2" t="s">
        <v>7</v>
      </c>
      <c r="B5" s="2"/>
      <c r="C5" s="2"/>
      <c r="D5" s="2"/>
      <c r="E5" s="2"/>
      <c r="F5" s="2"/>
    </row>
    <row r="6" spans="1:6" ht="16.5" customHeight="1" x14ac:dyDescent="0.45">
      <c r="A6" s="7" t="s">
        <v>8</v>
      </c>
      <c r="B6" s="45">
        <v>303132.09999999998</v>
      </c>
      <c r="C6" s="45">
        <v>338675.61</v>
      </c>
      <c r="D6" s="45">
        <v>238549.96</v>
      </c>
      <c r="E6" s="45">
        <v>388699.77</v>
      </c>
      <c r="F6" s="45">
        <v>594579.87</v>
      </c>
    </row>
    <row r="7" spans="1:6" ht="16.5" customHeight="1" x14ac:dyDescent="0.45">
      <c r="A7" s="7" t="s">
        <v>9</v>
      </c>
      <c r="B7" s="45">
        <v>-111064.06</v>
      </c>
      <c r="C7" s="45">
        <v>-131867.39000000001</v>
      </c>
      <c r="D7" s="45">
        <v>-105111.26</v>
      </c>
      <c r="E7" s="45">
        <v>-163909.84</v>
      </c>
      <c r="F7" s="45">
        <v>-255932.16</v>
      </c>
    </row>
    <row r="8" spans="1:6" ht="16.5" customHeight="1" x14ac:dyDescent="0.45">
      <c r="A8" s="8" t="s">
        <v>10</v>
      </c>
      <c r="B8" s="46">
        <v>192068.05</v>
      </c>
      <c r="C8" s="46">
        <v>206808.22</v>
      </c>
      <c r="D8" s="46">
        <v>133438.71</v>
      </c>
      <c r="E8" s="46">
        <v>224789.93</v>
      </c>
      <c r="F8" s="46">
        <v>338647.71</v>
      </c>
    </row>
    <row r="9" spans="1:6" ht="16.5" customHeight="1" x14ac:dyDescent="0.45">
      <c r="A9" s="7" t="s">
        <v>11</v>
      </c>
      <c r="B9" s="45">
        <v>-188364.91</v>
      </c>
      <c r="C9" s="45">
        <v>-196070.11</v>
      </c>
      <c r="D9" s="45">
        <v>-155882.81</v>
      </c>
      <c r="E9" s="45">
        <v>-206041.52</v>
      </c>
      <c r="F9" s="45">
        <v>-286616.31</v>
      </c>
    </row>
    <row r="10" spans="1:6" ht="16.5" customHeight="1" x14ac:dyDescent="0.45">
      <c r="A10" s="7" t="s">
        <v>12</v>
      </c>
      <c r="B10" s="45"/>
      <c r="C10" s="45"/>
      <c r="D10" s="45"/>
      <c r="E10" s="45"/>
      <c r="F10" s="45">
        <v>-31153.9</v>
      </c>
    </row>
    <row r="11" spans="1:6" ht="16.5" customHeight="1" x14ac:dyDescent="0.45">
      <c r="A11" s="7" t="s">
        <v>13</v>
      </c>
      <c r="B11" s="45">
        <v>5765.44</v>
      </c>
      <c r="C11" s="45">
        <v>1448.29</v>
      </c>
      <c r="D11" s="45">
        <v>1575.02</v>
      </c>
      <c r="E11" s="45">
        <v>5305.57</v>
      </c>
      <c r="F11" s="45">
        <v>28144.65</v>
      </c>
    </row>
    <row r="12" spans="1:6" ht="16.5" customHeight="1" x14ac:dyDescent="0.45">
      <c r="A12" s="8" t="s">
        <v>14</v>
      </c>
      <c r="B12" s="46">
        <v>9468.57</v>
      </c>
      <c r="C12" s="46">
        <v>14096.42</v>
      </c>
      <c r="D12" s="46">
        <v>-20869.09</v>
      </c>
      <c r="E12" s="46">
        <v>24053.98</v>
      </c>
      <c r="F12" s="46">
        <v>49022.16</v>
      </c>
    </row>
    <row r="13" spans="1:6" ht="16.5" customHeight="1" x14ac:dyDescent="0.45">
      <c r="A13" s="9" t="s">
        <v>15</v>
      </c>
      <c r="B13" s="47"/>
      <c r="C13" s="47"/>
      <c r="D13" s="47"/>
      <c r="E13" s="47"/>
      <c r="F13" s="47">
        <v>80176.05</v>
      </c>
    </row>
    <row r="14" spans="1:6" ht="16.5" customHeight="1" x14ac:dyDescent="0.45">
      <c r="A14" s="7" t="s">
        <v>16</v>
      </c>
      <c r="B14" s="45">
        <v>-7083.92</v>
      </c>
      <c r="C14" s="45">
        <v>-15223.53</v>
      </c>
      <c r="D14" s="45">
        <v>-13361.63</v>
      </c>
      <c r="E14" s="45">
        <v>-10480.549999999999</v>
      </c>
      <c r="F14" s="45">
        <v>-17898.66</v>
      </c>
    </row>
    <row r="15" spans="1:6" ht="16.5" customHeight="1" x14ac:dyDescent="0.45">
      <c r="A15" s="7" t="s">
        <v>17</v>
      </c>
      <c r="B15" s="45">
        <v>2205.0700000000002</v>
      </c>
      <c r="C15" s="45">
        <v>171.84</v>
      </c>
      <c r="D15" s="45">
        <v>386.37</v>
      </c>
      <c r="E15" s="45">
        <v>4192.97</v>
      </c>
      <c r="F15" s="45">
        <v>2767.05</v>
      </c>
    </row>
    <row r="16" spans="1:6" ht="16.5" customHeight="1" x14ac:dyDescent="0.45">
      <c r="A16" s="8" t="s">
        <v>18</v>
      </c>
      <c r="B16" s="46">
        <v>6113.34</v>
      </c>
      <c r="C16" s="46">
        <v>331.43</v>
      </c>
      <c r="D16" s="46">
        <v>-35165.1</v>
      </c>
      <c r="E16" s="46">
        <v>20396.5</v>
      </c>
      <c r="F16" s="46">
        <v>35415.64</v>
      </c>
    </row>
    <row r="17" spans="1:6" ht="16.5" customHeight="1" x14ac:dyDescent="0.45">
      <c r="A17" s="7" t="s">
        <v>19</v>
      </c>
      <c r="B17" s="45">
        <v>-2341.4899999999998</v>
      </c>
      <c r="C17" s="45">
        <v>-3079.45</v>
      </c>
      <c r="D17" s="45">
        <v>6251.79</v>
      </c>
      <c r="E17" s="45">
        <v>1600.27</v>
      </c>
      <c r="F17" s="45">
        <v>-8323.7800000000007</v>
      </c>
    </row>
    <row r="18" spans="1:6" ht="16.5" customHeight="1" x14ac:dyDescent="0.45">
      <c r="A18" s="9" t="s">
        <v>20</v>
      </c>
      <c r="B18" s="47">
        <v>3771.85</v>
      </c>
      <c r="C18" s="47">
        <v>-2748.02</v>
      </c>
      <c r="D18" s="47">
        <v>-28913.31</v>
      </c>
      <c r="E18" s="47">
        <v>21996.77</v>
      </c>
      <c r="F18" s="47">
        <v>27091.86</v>
      </c>
    </row>
    <row r="19" spans="1:6" ht="16.5" customHeight="1" x14ac:dyDescent="0.45">
      <c r="A19" s="7"/>
      <c r="B19" s="10"/>
      <c r="C19" s="10"/>
      <c r="D19" s="10"/>
      <c r="E19" s="10"/>
      <c r="F19" s="10"/>
    </row>
    <row r="20" spans="1:6" ht="16.5" customHeight="1" x14ac:dyDescent="0.45">
      <c r="A20" s="2" t="s">
        <v>21</v>
      </c>
      <c r="B20" s="2"/>
      <c r="C20" s="2"/>
      <c r="D20" s="2"/>
      <c r="E20" s="2"/>
      <c r="F20" s="2"/>
    </row>
    <row r="21" spans="1:6" ht="16.5" customHeight="1" x14ac:dyDescent="0.45">
      <c r="A21" s="11" t="s">
        <v>22</v>
      </c>
      <c r="B21" s="12"/>
      <c r="C21" s="12"/>
      <c r="D21" s="12"/>
      <c r="E21" s="12"/>
      <c r="F21" s="12"/>
    </row>
    <row r="22" spans="1:6" ht="16.5" customHeight="1" x14ac:dyDescent="0.45">
      <c r="A22" s="8" t="s">
        <v>23</v>
      </c>
      <c r="B22" s="46">
        <v>162079.66</v>
      </c>
      <c r="C22" s="46">
        <v>229156.19</v>
      </c>
      <c r="D22" s="46">
        <v>218966.41</v>
      </c>
      <c r="E22" s="46">
        <v>232419.18</v>
      </c>
      <c r="F22" s="46">
        <v>316245.81</v>
      </c>
    </row>
    <row r="23" spans="1:6" ht="16.5" customHeight="1" x14ac:dyDescent="0.45">
      <c r="A23" s="7" t="s">
        <v>24</v>
      </c>
      <c r="B23" s="45">
        <v>93103.15</v>
      </c>
      <c r="C23" s="45">
        <v>158446.85999999999</v>
      </c>
      <c r="D23" s="45">
        <v>137936.12</v>
      </c>
      <c r="E23" s="45">
        <v>130889.46</v>
      </c>
      <c r="F23" s="45">
        <v>144642.17000000001</v>
      </c>
    </row>
    <row r="24" spans="1:6" ht="16.5" customHeight="1" x14ac:dyDescent="0.45">
      <c r="A24" s="7" t="s">
        <v>25</v>
      </c>
      <c r="B24" s="45">
        <v>60904.45</v>
      </c>
      <c r="C24" s="45">
        <v>127917.18</v>
      </c>
      <c r="D24" s="45">
        <v>105781.75999999999</v>
      </c>
      <c r="E24" s="45">
        <v>97682.38</v>
      </c>
      <c r="F24" s="45">
        <v>63214.48</v>
      </c>
    </row>
    <row r="25" spans="1:6" ht="16.5" customHeight="1" x14ac:dyDescent="0.45">
      <c r="A25" s="7" t="s">
        <v>26</v>
      </c>
      <c r="B25" s="45">
        <v>7045.56</v>
      </c>
      <c r="C25" s="45">
        <v>5308</v>
      </c>
      <c r="D25" s="45">
        <v>4494.17</v>
      </c>
      <c r="E25" s="45">
        <v>1830.79</v>
      </c>
      <c r="F25" s="45">
        <v>385.6</v>
      </c>
    </row>
    <row r="26" spans="1:6" ht="16.5" customHeight="1" x14ac:dyDescent="0.45">
      <c r="A26" s="7" t="s">
        <v>27</v>
      </c>
      <c r="B26" s="45">
        <v>23209.37</v>
      </c>
      <c r="C26" s="45">
        <v>23886.959999999999</v>
      </c>
      <c r="D26" s="45">
        <v>20378.18</v>
      </c>
      <c r="E26" s="45">
        <v>21415.01</v>
      </c>
      <c r="F26" s="45">
        <v>18641.669999999998</v>
      </c>
    </row>
    <row r="27" spans="1:6" ht="16.5" customHeight="1" x14ac:dyDescent="0.45">
      <c r="A27" s="7" t="s">
        <v>28</v>
      </c>
      <c r="B27" s="45">
        <v>1943.77</v>
      </c>
      <c r="C27" s="45">
        <v>1334.72</v>
      </c>
      <c r="D27" s="45">
        <v>7282.01</v>
      </c>
      <c r="E27" s="45">
        <v>9961.2900000000009</v>
      </c>
      <c r="F27" s="45">
        <v>62400.42</v>
      </c>
    </row>
    <row r="28" spans="1:6" ht="16.5" customHeight="1" x14ac:dyDescent="0.45">
      <c r="A28" s="7" t="s">
        <v>29</v>
      </c>
      <c r="B28" s="45">
        <v>68976.509999999995</v>
      </c>
      <c r="C28" s="45">
        <v>70709.33</v>
      </c>
      <c r="D28" s="45">
        <v>81030.289999999994</v>
      </c>
      <c r="E28" s="45">
        <v>101529.72</v>
      </c>
      <c r="F28" s="45">
        <v>171603.63</v>
      </c>
    </row>
    <row r="29" spans="1:6" ht="16.5" customHeight="1" x14ac:dyDescent="0.45">
      <c r="A29" s="7" t="s">
        <v>30</v>
      </c>
      <c r="B29" s="45">
        <v>24395.32</v>
      </c>
      <c r="C29" s="45">
        <v>23162.92</v>
      </c>
      <c r="D29" s="45">
        <v>23093.84</v>
      </c>
      <c r="E29" s="45">
        <v>41445.24</v>
      </c>
      <c r="F29" s="45">
        <v>90456.78</v>
      </c>
    </row>
    <row r="30" spans="1:6" ht="16.5" customHeight="1" x14ac:dyDescent="0.45">
      <c r="A30" s="7" t="s">
        <v>31</v>
      </c>
      <c r="B30" s="45">
        <v>39318.69</v>
      </c>
      <c r="C30" s="45">
        <v>32875.9</v>
      </c>
      <c r="D30" s="45">
        <v>24916.27</v>
      </c>
      <c r="E30" s="45">
        <v>49066.06</v>
      </c>
      <c r="F30" s="45">
        <v>46115.73</v>
      </c>
    </row>
    <row r="31" spans="1:6" ht="16.5" customHeight="1" x14ac:dyDescent="0.45">
      <c r="A31" s="7" t="s">
        <v>32</v>
      </c>
      <c r="B31" s="45">
        <v>4761.42</v>
      </c>
      <c r="C31" s="45">
        <v>14276.96</v>
      </c>
      <c r="D31" s="45">
        <v>32900.78</v>
      </c>
      <c r="E31" s="45">
        <v>9743.56</v>
      </c>
      <c r="F31" s="45">
        <v>10820.09</v>
      </c>
    </row>
    <row r="32" spans="1:6" ht="16.5" customHeight="1" x14ac:dyDescent="0.45">
      <c r="A32" s="7" t="s">
        <v>33</v>
      </c>
      <c r="B32" s="45">
        <v>501.08</v>
      </c>
      <c r="C32" s="45">
        <v>393.56</v>
      </c>
      <c r="D32" s="45">
        <v>119.41</v>
      </c>
      <c r="E32" s="45">
        <v>1274.8599999999999</v>
      </c>
      <c r="F32" s="45">
        <v>24210.03</v>
      </c>
    </row>
    <row r="33" spans="1:6" ht="16.5" customHeight="1" x14ac:dyDescent="0.45">
      <c r="A33" s="7"/>
      <c r="B33" s="10"/>
      <c r="C33" s="10"/>
      <c r="D33" s="10"/>
      <c r="E33" s="10"/>
      <c r="F33" s="10"/>
    </row>
    <row r="34" spans="1:6" ht="16.5" customHeight="1" x14ac:dyDescent="0.45">
      <c r="A34" s="11" t="s">
        <v>34</v>
      </c>
      <c r="B34" s="12"/>
      <c r="C34" s="12"/>
      <c r="D34" s="12"/>
      <c r="E34" s="12"/>
      <c r="F34" s="12"/>
    </row>
    <row r="35" spans="1:6" ht="16.5" customHeight="1" x14ac:dyDescent="0.45">
      <c r="A35" s="8" t="s">
        <v>35</v>
      </c>
      <c r="B35" s="46">
        <v>130284.13</v>
      </c>
      <c r="C35" s="46">
        <v>198166.63</v>
      </c>
      <c r="D35" s="46">
        <v>222529.48</v>
      </c>
      <c r="E35" s="46">
        <v>224610.04</v>
      </c>
      <c r="F35" s="46">
        <v>289354.09999999998</v>
      </c>
    </row>
    <row r="36" spans="1:6" ht="16.5" customHeight="1" x14ac:dyDescent="0.45">
      <c r="A36" s="7" t="s">
        <v>36</v>
      </c>
      <c r="B36" s="45">
        <v>57690.239999999998</v>
      </c>
      <c r="C36" s="45">
        <v>101472.62</v>
      </c>
      <c r="D36" s="45">
        <v>118234.65</v>
      </c>
      <c r="E36" s="45">
        <v>103370.11</v>
      </c>
      <c r="F36" s="45">
        <v>106875.25</v>
      </c>
    </row>
    <row r="37" spans="1:6" ht="16.5" customHeight="1" x14ac:dyDescent="0.45">
      <c r="A37" s="7" t="s">
        <v>37</v>
      </c>
      <c r="B37" s="45">
        <v>39039.29</v>
      </c>
      <c r="C37" s="45">
        <v>78230.64</v>
      </c>
      <c r="D37" s="45">
        <v>92441.77</v>
      </c>
      <c r="E37" s="45">
        <v>84265.56</v>
      </c>
      <c r="F37" s="45">
        <v>36583.01</v>
      </c>
    </row>
    <row r="38" spans="1:6" ht="16.5" customHeight="1" x14ac:dyDescent="0.45">
      <c r="A38" s="7" t="s">
        <v>38</v>
      </c>
      <c r="B38" s="45">
        <v>18650.96</v>
      </c>
      <c r="C38" s="45">
        <v>23241.98</v>
      </c>
      <c r="D38" s="45">
        <v>25792.880000000001</v>
      </c>
      <c r="E38" s="45">
        <v>19104.55</v>
      </c>
      <c r="F38" s="45">
        <v>70292.240000000005</v>
      </c>
    </row>
    <row r="39" spans="1:6" ht="16.5" customHeight="1" x14ac:dyDescent="0.45">
      <c r="A39" s="7" t="s">
        <v>39</v>
      </c>
      <c r="B39" s="45">
        <v>72593.89</v>
      </c>
      <c r="C39" s="45">
        <v>96694.01</v>
      </c>
      <c r="D39" s="45">
        <v>104294.83</v>
      </c>
      <c r="E39" s="45">
        <v>121239.93</v>
      </c>
      <c r="F39" s="45">
        <v>182478.85</v>
      </c>
    </row>
    <row r="40" spans="1:6" ht="16.5" customHeight="1" x14ac:dyDescent="0.45">
      <c r="A40" s="7" t="s">
        <v>40</v>
      </c>
      <c r="B40" s="45">
        <v>28662.1</v>
      </c>
      <c r="C40" s="45">
        <v>49966.2</v>
      </c>
      <c r="D40" s="45">
        <v>50705.4</v>
      </c>
      <c r="E40" s="45">
        <v>51643.92</v>
      </c>
      <c r="F40" s="45">
        <v>51621.69</v>
      </c>
    </row>
    <row r="41" spans="1:6" ht="16.5" customHeight="1" x14ac:dyDescent="0.45">
      <c r="A41" s="7" t="s">
        <v>41</v>
      </c>
      <c r="B41" s="45">
        <v>34865.56</v>
      </c>
      <c r="C41" s="45">
        <v>35435.879999999997</v>
      </c>
      <c r="D41" s="45">
        <v>45832.72</v>
      </c>
      <c r="E41" s="45">
        <v>55972.959999999999</v>
      </c>
      <c r="F41" s="45">
        <v>42367.85</v>
      </c>
    </row>
    <row r="42" spans="1:6" ht="16.5" customHeight="1" x14ac:dyDescent="0.45">
      <c r="A42" s="7" t="s">
        <v>42</v>
      </c>
      <c r="B42" s="45">
        <v>9066.23</v>
      </c>
      <c r="C42" s="45">
        <v>11291.93</v>
      </c>
      <c r="D42" s="45">
        <v>7756.71</v>
      </c>
      <c r="E42" s="45">
        <v>13623.05</v>
      </c>
      <c r="F42" s="45">
        <v>88489.31</v>
      </c>
    </row>
    <row r="43" spans="1:6" ht="16.5" customHeight="1" x14ac:dyDescent="0.45">
      <c r="A43" s="9" t="s">
        <v>43</v>
      </c>
      <c r="B43" s="47">
        <v>31795.54</v>
      </c>
      <c r="C43" s="47">
        <v>30989.56</v>
      </c>
      <c r="D43" s="47">
        <v>-3563.07</v>
      </c>
      <c r="E43" s="47">
        <v>7809.14</v>
      </c>
      <c r="F43" s="47">
        <v>26891.71</v>
      </c>
    </row>
    <row r="44" spans="1:6" ht="16.5" customHeight="1" x14ac:dyDescent="0.45">
      <c r="A44" s="7" t="s">
        <v>44</v>
      </c>
      <c r="B44" s="45">
        <v>87938.48</v>
      </c>
      <c r="C44" s="45">
        <v>87938.48</v>
      </c>
      <c r="D44" s="45">
        <v>87938.48</v>
      </c>
      <c r="E44" s="45">
        <v>87938.48</v>
      </c>
      <c r="F44" s="45">
        <v>87938.48</v>
      </c>
    </row>
    <row r="45" spans="1:6" ht="16.5" customHeight="1" x14ac:dyDescent="0.45">
      <c r="A45" s="7" t="s">
        <v>45</v>
      </c>
      <c r="B45" s="45">
        <v>-88581.89</v>
      </c>
      <c r="C45" s="45">
        <v>-87911.679999999993</v>
      </c>
      <c r="D45" s="45">
        <v>-90942.9</v>
      </c>
      <c r="E45" s="45">
        <v>-126607.13</v>
      </c>
      <c r="F45" s="45">
        <v>-88437.41</v>
      </c>
    </row>
  </sheetData>
  <mergeCells count="4">
    <mergeCell ref="A1:F1"/>
    <mergeCell ref="A2:F2"/>
    <mergeCell ref="A5:F5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36" sqref="C36:F36"/>
    </sheetView>
  </sheetViews>
  <sheetFormatPr baseColWidth="10" defaultColWidth="8.6640625" defaultRowHeight="14.25" x14ac:dyDescent="0.45"/>
  <cols>
    <col min="1" max="1" width="38" customWidth="1"/>
    <col min="2" max="6" width="14" customWidth="1"/>
    <col min="7" max="7" width="38.53125" bestFit="1" customWidth="1"/>
  </cols>
  <sheetData>
    <row r="1" spans="1:7" ht="36" customHeight="1" x14ac:dyDescent="0.45">
      <c r="A1" s="4" t="s">
        <v>46</v>
      </c>
      <c r="B1" s="4"/>
      <c r="C1" s="4"/>
      <c r="D1" s="4"/>
      <c r="E1" s="4"/>
      <c r="F1" s="4"/>
      <c r="G1" s="4"/>
    </row>
    <row r="2" spans="1:7" x14ac:dyDescent="0.45">
      <c r="A2" s="3" t="s">
        <v>231</v>
      </c>
      <c r="B2" s="3"/>
      <c r="C2" s="3"/>
      <c r="D2" s="3"/>
      <c r="E2" s="3"/>
      <c r="F2" s="3"/>
      <c r="G2" s="3"/>
    </row>
    <row r="4" spans="1:7" x14ac:dyDescent="0.45">
      <c r="A4" s="11" t="s">
        <v>47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48</v>
      </c>
    </row>
    <row r="5" spans="1:7" ht="18" customHeight="1" x14ac:dyDescent="0.45">
      <c r="A5" s="2" t="s">
        <v>49</v>
      </c>
      <c r="B5" s="2"/>
      <c r="C5" s="2"/>
      <c r="D5" s="2"/>
      <c r="E5" s="2"/>
      <c r="F5" s="2"/>
      <c r="G5" s="2"/>
    </row>
    <row r="6" spans="1:7" ht="16.5" customHeight="1" x14ac:dyDescent="0.45">
      <c r="A6" s="13" t="s">
        <v>50</v>
      </c>
      <c r="B6" s="14">
        <f>'Datos Históricos'!B28/'Datos Históricos'!B39</f>
        <v>0.95016963548860645</v>
      </c>
      <c r="C6" s="14">
        <f>'Datos Históricos'!C28/'Datos Históricos'!C39</f>
        <v>0.73126897932974344</v>
      </c>
      <c r="D6" s="14">
        <f>'Datos Históricos'!D28/'Datos Históricos'!D39</f>
        <v>0.77693486820008228</v>
      </c>
      <c r="E6" s="14">
        <f>'Datos Históricos'!E28/'Datos Históricos'!E39</f>
        <v>0.8374280651597209</v>
      </c>
      <c r="F6" s="14">
        <f>'Datos Históricos'!F28/'Datos Históricos'!F39</f>
        <v>0.94040284668606799</v>
      </c>
      <c r="G6" s="15" t="s">
        <v>51</v>
      </c>
    </row>
    <row r="7" spans="1:7" ht="16.5" customHeight="1" x14ac:dyDescent="0.45">
      <c r="A7" s="16" t="s">
        <v>52</v>
      </c>
      <c r="B7" s="17">
        <f>IFERROR(('Datos Históricos'!B28-'Datos Históricos'!B29)/'Datos Históricos'!B39,"-")</f>
        <v>0.61411766196852102</v>
      </c>
      <c r="C7" s="17">
        <f>IFERROR(('Datos Históricos'!C28-'Datos Históricos'!C29)/'Datos Históricos'!C39,"-")</f>
        <v>0.49172032476468819</v>
      </c>
      <c r="D7" s="17">
        <f>IFERROR(('Datos Históricos'!D28-'Datos Históricos'!D29)/'Datos Históricos'!D39,"-")</f>
        <v>0.5555064426491706</v>
      </c>
      <c r="E7" s="17">
        <f>IFERROR(('Datos Históricos'!E28-'Datos Históricos'!E29)/'Datos Históricos'!E39,"-")</f>
        <v>0.49558326204906261</v>
      </c>
      <c r="F7" s="17">
        <f>IFERROR(('Datos Históricos'!F28-'Datos Históricos'!F29)/'Datos Históricos'!F39,"-")</f>
        <v>0.44469180948915449</v>
      </c>
      <c r="G7" s="18" t="s">
        <v>53</v>
      </c>
    </row>
    <row r="8" spans="1:7" ht="16.5" hidden="1" customHeight="1" x14ac:dyDescent="0.45">
      <c r="A8" s="13" t="s">
        <v>54</v>
      </c>
      <c r="B8" s="14">
        <f>IFERROR('Datos Históricos'!B31/'Datos Históricos'!B39,"-")</f>
        <v>6.5589817545250714E-2</v>
      </c>
      <c r="C8" s="14">
        <f>IFERROR('Datos Históricos'!C31/'Datos Históricos'!C39,"-")</f>
        <v>0.14765092480909625</v>
      </c>
      <c r="D8" s="14">
        <f>IFERROR('Datos Históricos'!D31/'Datos Históricos'!D39,"-")</f>
        <v>0.31545935690196725</v>
      </c>
      <c r="E8" s="14">
        <f>IFERROR('Datos Históricos'!E31/'Datos Históricos'!E39,"-")</f>
        <v>8.0365932246909078E-2</v>
      </c>
      <c r="F8" s="14">
        <f>IFERROR('Datos Históricos'!F31/'Datos Históricos'!F39,"-")</f>
        <v>5.9295036109664218E-2</v>
      </c>
      <c r="G8" s="15" t="s">
        <v>55</v>
      </c>
    </row>
    <row r="9" spans="1:7" ht="16.5" customHeight="1" x14ac:dyDescent="0.45">
      <c r="A9" s="16" t="s">
        <v>56</v>
      </c>
      <c r="B9" s="19">
        <f>IFERROR('Datos Históricos'!B28-'Datos Históricos'!B39,"-")</f>
        <v>-3617.3800000000047</v>
      </c>
      <c r="C9" s="19">
        <f>IFERROR('Datos Históricos'!C28-'Datos Históricos'!C39,"-")</f>
        <v>-25984.679999999993</v>
      </c>
      <c r="D9" s="19">
        <f>IFERROR('Datos Históricos'!D28-'Datos Históricos'!D39,"-")</f>
        <v>-23264.540000000008</v>
      </c>
      <c r="E9" s="19">
        <f>IFERROR('Datos Históricos'!E28-'Datos Históricos'!E39,"-")</f>
        <v>-19710.209999999992</v>
      </c>
      <c r="F9" s="19">
        <f>IFERROR('Datos Históricos'!F28-'Datos Históricos'!F39,"-")</f>
        <v>-10875.220000000001</v>
      </c>
      <c r="G9" s="18" t="s">
        <v>57</v>
      </c>
    </row>
    <row r="11" spans="1:7" ht="18" customHeight="1" x14ac:dyDescent="0.45">
      <c r="A11" s="2" t="s">
        <v>58</v>
      </c>
      <c r="B11" s="2"/>
      <c r="C11" s="2"/>
      <c r="D11" s="2"/>
      <c r="E11" s="2"/>
      <c r="F11" s="2"/>
      <c r="G11" s="2"/>
    </row>
    <row r="12" spans="1:7" ht="16.5" customHeight="1" x14ac:dyDescent="0.45">
      <c r="A12" s="13" t="s">
        <v>59</v>
      </c>
      <c r="B12" s="20">
        <f>IFERROR('Datos Históricos'!B35/'Datos Históricos'!B22,"-")</f>
        <v>0.8038277597571466</v>
      </c>
      <c r="C12" s="20">
        <f>IFERROR('Datos Históricos'!C35/'Datos Históricos'!C22,"-")</f>
        <v>0.86476664671375447</v>
      </c>
      <c r="D12" s="20">
        <f>IFERROR('Datos Históricos'!D35/'Datos Históricos'!D22,"-")</f>
        <v>1.0162722218444373</v>
      </c>
      <c r="E12" s="20">
        <f>IFERROR('Datos Históricos'!E35/'Datos Históricos'!E22,"-")</f>
        <v>0.96640062149776118</v>
      </c>
      <c r="F12" s="20">
        <f>IFERROR('Datos Históricos'!F35/'Datos Históricos'!F22,"-")</f>
        <v>0.91496579828203883</v>
      </c>
      <c r="G12" s="15" t="s">
        <v>60</v>
      </c>
    </row>
    <row r="13" spans="1:7" ht="16.5" customHeight="1" x14ac:dyDescent="0.45">
      <c r="A13" s="16" t="s">
        <v>61</v>
      </c>
      <c r="B13" s="17">
        <f>IFERROR('Datos Históricos'!B35/'Datos Históricos'!B43,"-")</f>
        <v>4.097559909345776</v>
      </c>
      <c r="C13" s="17">
        <f>IFERROR('Datos Históricos'!C35/'Datos Históricos'!C43,"-")</f>
        <v>6.3946254803230502</v>
      </c>
      <c r="D13" s="17">
        <f>IFERROR('Datos Históricos'!D35/'Datos Históricos'!D43,"-")</f>
        <v>-62.454422730959536</v>
      </c>
      <c r="E13" s="17">
        <f>IFERROR('Datos Históricos'!E35/'Datos Históricos'!E43,"-")</f>
        <v>28.762455276765429</v>
      </c>
      <c r="F13" s="17">
        <f>IFERROR('Datos Históricos'!F35/'Datos Históricos'!F43,"-")</f>
        <v>10.759973984547655</v>
      </c>
      <c r="G13" s="18" t="s">
        <v>62</v>
      </c>
    </row>
    <row r="14" spans="1:7" ht="16.5" customHeight="1" x14ac:dyDescent="0.45">
      <c r="A14" s="13" t="s">
        <v>63</v>
      </c>
      <c r="B14" s="20">
        <f>IFERROR('Datos Históricos'!B39/'Datos Históricos'!B35,"-")</f>
        <v>0.55719672073643967</v>
      </c>
      <c r="C14" s="20">
        <f>IFERROR('Datos Históricos'!C39/'Datos Históricos'!C35,"-")</f>
        <v>0.48794294982964587</v>
      </c>
      <c r="D14" s="20">
        <f>IFERROR('Datos Históricos'!D39/'Datos Históricos'!D35,"-")</f>
        <v>0.46867871169249126</v>
      </c>
      <c r="E14" s="20">
        <f>IFERROR('Datos Históricos'!E39/'Datos Históricos'!E35,"-")</f>
        <v>0.53977965544193829</v>
      </c>
      <c r="F14" s="20">
        <f>IFERROR('Datos Históricos'!F39/'Datos Históricos'!F35,"-")</f>
        <v>0.63064200576387208</v>
      </c>
      <c r="G14" s="15" t="s">
        <v>64</v>
      </c>
    </row>
    <row r="15" spans="1:7" ht="16.5" customHeight="1" x14ac:dyDescent="0.45">
      <c r="A15" s="16" t="s">
        <v>65</v>
      </c>
      <c r="B15" s="19">
        <f>IFERROR('Datos Históricos'!B40+'Datos Históricos'!B37,"-")</f>
        <v>67701.39</v>
      </c>
      <c r="C15" s="19">
        <f>IFERROR('Datos Históricos'!C40+'Datos Históricos'!C37,"-")</f>
        <v>128196.84</v>
      </c>
      <c r="D15" s="19">
        <f>IFERROR('Datos Históricos'!D40+'Datos Históricos'!D37,"-")</f>
        <v>143147.17000000001</v>
      </c>
      <c r="E15" s="19">
        <f>IFERROR('Datos Históricos'!E40+'Datos Históricos'!E37,"-")</f>
        <v>135909.47999999998</v>
      </c>
      <c r="F15" s="19">
        <f>IFERROR('Datos Históricos'!F40+'Datos Históricos'!F37,"-")</f>
        <v>88204.700000000012</v>
      </c>
      <c r="G15" s="18" t="s">
        <v>66</v>
      </c>
    </row>
    <row r="17" spans="1:7" ht="18" customHeight="1" x14ac:dyDescent="0.45">
      <c r="A17" s="2" t="s">
        <v>67</v>
      </c>
      <c r="B17" s="2"/>
      <c r="C17" s="2"/>
      <c r="D17" s="2"/>
      <c r="E17" s="2"/>
      <c r="F17" s="2"/>
      <c r="G17" s="2"/>
    </row>
    <row r="18" spans="1:7" ht="16.5" customHeight="1" x14ac:dyDescent="0.45">
      <c r="A18" s="13" t="s">
        <v>68</v>
      </c>
      <c r="B18" s="14"/>
      <c r="C18" s="14"/>
      <c r="D18" s="14"/>
      <c r="E18" s="14"/>
      <c r="F18" s="14">
        <f>IFERROR(('Datos Históricos'!F40+'Datos Históricos'!F37-'Datos Históricos'!F31)/'Datos Históricos'!F13,"-")</f>
        <v>0.96518361780107664</v>
      </c>
      <c r="G18" s="15" t="s">
        <v>69</v>
      </c>
    </row>
    <row r="19" spans="1:7" ht="16.5" customHeight="1" x14ac:dyDescent="0.45">
      <c r="A19" s="16" t="s">
        <v>70</v>
      </c>
      <c r="B19" s="17">
        <f>IFERROR('Datos Históricos'!B12/-'Datos Históricos'!B14,"-")</f>
        <v>1.3366285898203254</v>
      </c>
      <c r="C19" s="17">
        <f>IFERROR('Datos Históricos'!C12/-'Datos Históricos'!C14,"-")</f>
        <v>0.92596263810036172</v>
      </c>
      <c r="D19" s="17">
        <f>IFERROR('Datos Históricos'!D12/-'Datos Históricos'!D14,"-")</f>
        <v>-1.5618670775945751</v>
      </c>
      <c r="E19" s="17">
        <f>IFERROR('Datos Históricos'!E12/-'Datos Históricos'!E14,"-")</f>
        <v>2.295106649937265</v>
      </c>
      <c r="F19" s="17">
        <f>IFERROR('Datos Históricos'!F12/-'Datos Históricos'!F14,"-")</f>
        <v>2.7388731893895968</v>
      </c>
      <c r="G19" s="18" t="s">
        <v>71</v>
      </c>
    </row>
    <row r="20" spans="1:7" ht="16.5" customHeight="1" x14ac:dyDescent="0.45">
      <c r="A20" s="13" t="s">
        <v>72</v>
      </c>
      <c r="B20" s="20">
        <f>IFERROR('Datos Históricos'!B37/'Datos Históricos'!B22,"-")</f>
        <v>0.24086483152790425</v>
      </c>
      <c r="C20" s="20">
        <f>IFERROR('Datos Históricos'!C37/'Datos Históricos'!C22,"-")</f>
        <v>0.34138567236608358</v>
      </c>
      <c r="D20" s="20">
        <f>IFERROR('Datos Históricos'!D37/'Datos Históricos'!D22,"-")</f>
        <v>0.42217329132810827</v>
      </c>
      <c r="E20" s="20">
        <f>IFERROR('Datos Históricos'!E37/'Datos Históricos'!E22,"-")</f>
        <v>0.36255854615785149</v>
      </c>
      <c r="F20" s="20">
        <f>IFERROR('Datos Históricos'!F37/'Datos Históricos'!F22,"-")</f>
        <v>0.11567903460918581</v>
      </c>
      <c r="G20" s="15" t="s">
        <v>73</v>
      </c>
    </row>
    <row r="22" spans="1:7" ht="18" customHeight="1" x14ac:dyDescent="0.45">
      <c r="A22" s="2" t="s">
        <v>74</v>
      </c>
      <c r="B22" s="2"/>
      <c r="C22" s="2"/>
      <c r="D22" s="2"/>
      <c r="E22" s="2"/>
      <c r="F22" s="2"/>
      <c r="G22" s="2"/>
    </row>
    <row r="23" spans="1:7" ht="16.5" customHeight="1" x14ac:dyDescent="0.45">
      <c r="A23" s="16" t="s">
        <v>75</v>
      </c>
      <c r="B23" s="17">
        <f>IFERROR('Datos Históricos'!B6/'Datos Históricos'!B22,"-")</f>
        <v>1.8702661395020199</v>
      </c>
      <c r="C23" s="17">
        <f>IFERROR('Datos Históricos'!C6/'Datos Históricos'!C22,"-")</f>
        <v>1.4779247726190594</v>
      </c>
      <c r="D23" s="17">
        <f>IFERROR('Datos Históricos'!D6/'Datos Históricos'!D22,"-")</f>
        <v>1.0894363203927031</v>
      </c>
      <c r="E23" s="17">
        <f>IFERROR('Datos Históricos'!E6/'Datos Históricos'!E22,"-")</f>
        <v>1.672408318452892</v>
      </c>
      <c r="F23" s="17">
        <f>IFERROR('Datos Históricos'!F6/'Datos Históricos'!F22,"-")</f>
        <v>1.8801193603165842</v>
      </c>
      <c r="G23" s="18" t="s">
        <v>76</v>
      </c>
    </row>
    <row r="24" spans="1:7" ht="16.5" customHeight="1" x14ac:dyDescent="0.45">
      <c r="A24" s="13" t="s">
        <v>77</v>
      </c>
      <c r="B24" s="14">
        <f>IFERROR(-'Datos Históricos'!B7/'Datos Históricos'!B29,"-")</f>
        <v>4.5526789564555825</v>
      </c>
      <c r="C24" s="14">
        <f>IFERROR(-'Datos Históricos'!C7/'Datos Históricos'!C29,"-")</f>
        <v>5.6930382697863662</v>
      </c>
      <c r="D24" s="14">
        <f>IFERROR(-'Datos Históricos'!D7/'Datos Históricos'!D29,"-")</f>
        <v>4.5514847249309769</v>
      </c>
      <c r="E24" s="14">
        <f>IFERROR(-'Datos Históricos'!E7/'Datos Históricos'!E29,"-")</f>
        <v>3.9548531990645972</v>
      </c>
      <c r="F24" s="14">
        <f>IFERROR(-'Datos Históricos'!F7/'Datos Históricos'!F29,"-")</f>
        <v>2.8293308693942012</v>
      </c>
      <c r="G24" s="15" t="s">
        <v>78</v>
      </c>
    </row>
    <row r="25" spans="1:7" ht="16.5" customHeight="1" x14ac:dyDescent="0.45">
      <c r="A25" s="16" t="s">
        <v>79</v>
      </c>
      <c r="B25" s="21">
        <f>IFERROR(365/(-'Datos Históricos'!B7/'Datos Históricos'!B29),"-")</f>
        <v>80.172576079066445</v>
      </c>
      <c r="C25" s="21">
        <f>IFERROR(365/(-'Datos Históricos'!C7/'Datos Históricos'!C29),"-")</f>
        <v>64.113393007930156</v>
      </c>
      <c r="D25" s="21">
        <f>IFERROR(365/(-'Datos Históricos'!D7/'Datos Históricos'!D29),"-")</f>
        <v>80.19361198790692</v>
      </c>
      <c r="E25" s="21">
        <f>IFERROR(365/(-'Datos Históricos'!E7/'Datos Históricos'!E29),"-")</f>
        <v>92.291668395259251</v>
      </c>
      <c r="F25" s="21">
        <f>IFERROR(365/(-'Datos Históricos'!F7/'Datos Históricos'!F29),"-")</f>
        <v>129.00576738773276</v>
      </c>
      <c r="G25" s="18" t="s">
        <v>80</v>
      </c>
    </row>
    <row r="26" spans="1:7" ht="16.5" customHeight="1" x14ac:dyDescent="0.45">
      <c r="A26" s="13" t="s">
        <v>81</v>
      </c>
      <c r="B26" s="22">
        <f>IFERROR('Datos Históricos'!B30/'Datos Históricos'!B6*365,"-")</f>
        <v>47.343458017148301</v>
      </c>
      <c r="C26" s="22">
        <f>IFERROR('Datos Históricos'!C30/'Datos Históricos'!C6*365,"-")</f>
        <v>35.431259723722057</v>
      </c>
      <c r="D26" s="22">
        <f>IFERROR('Datos Históricos'!D30/'Datos Históricos'!D6*365,"-")</f>
        <v>38.123831796073247</v>
      </c>
      <c r="E26" s="22">
        <f>IFERROR('Datos Históricos'!E30/'Datos Históricos'!E6*365,"-")</f>
        <v>46.074408276598668</v>
      </c>
      <c r="F26" s="22">
        <f>IFERROR('Datos Históricos'!F30/'Datos Históricos'!F6*365,"-")</f>
        <v>28.309470769671364</v>
      </c>
      <c r="G26" s="15" t="s">
        <v>82</v>
      </c>
    </row>
    <row r="27" spans="1:7" ht="16.5" customHeight="1" x14ac:dyDescent="0.45">
      <c r="A27" s="16" t="s">
        <v>83</v>
      </c>
      <c r="B27" s="21">
        <f>IFERROR(-'Datos Históricos'!B41/-'Datos Históricos'!B7*365,"-")</f>
        <v>-114.58188544521062</v>
      </c>
      <c r="C27" s="21">
        <f>IFERROR(-'Datos Históricos'!C41/-'Datos Históricos'!C7*365,"-")</f>
        <v>-98.084114654881674</v>
      </c>
      <c r="D27" s="21">
        <f>IFERROR(-'Datos Históricos'!D41/-'Datos Históricos'!D7*365,"-")</f>
        <v>-159.1546214934537</v>
      </c>
      <c r="E27" s="21">
        <f>IFERROR(-'Datos Históricos'!E41/-'Datos Históricos'!E7*365,"-")</f>
        <v>-124.64248882190356</v>
      </c>
      <c r="F27" s="21">
        <f>IFERROR(-'Datos Históricos'!F41/-'Datos Históricos'!F7*365,"-")</f>
        <v>-60.423298306863813</v>
      </c>
      <c r="G27" s="18" t="s">
        <v>84</v>
      </c>
    </row>
    <row r="29" spans="1:7" ht="18" customHeight="1" x14ac:dyDescent="0.45">
      <c r="A29" s="2" t="s">
        <v>85</v>
      </c>
      <c r="B29" s="2"/>
      <c r="C29" s="2"/>
      <c r="D29" s="2"/>
      <c r="E29" s="2"/>
      <c r="F29" s="2"/>
      <c r="G29" s="2"/>
    </row>
    <row r="30" spans="1:7" ht="16.5" customHeight="1" x14ac:dyDescent="0.45">
      <c r="A30" s="13" t="s">
        <v>86</v>
      </c>
      <c r="B30" s="20">
        <f>IFERROR('Datos Históricos'!B8/'Datos Históricos'!B6,"-")</f>
        <v>0.63361171581630582</v>
      </c>
      <c r="C30" s="20">
        <f>IFERROR('Datos Históricos'!C8/'Datos Históricos'!C6,"-")</f>
        <v>0.61063806750063876</v>
      </c>
      <c r="D30" s="20">
        <f>IFERROR('Datos Históricos'!D8/'Datos Históricos'!D6,"-")</f>
        <v>0.55937427111704396</v>
      </c>
      <c r="E30" s="20">
        <f>IFERROR('Datos Históricos'!E8/'Datos Históricos'!E6,"-")</f>
        <v>0.57831248523764234</v>
      </c>
      <c r="F30" s="20">
        <f>IFERROR('Datos Históricos'!F8/'Datos Históricos'!F6,"-")</f>
        <v>0.56955798049469797</v>
      </c>
      <c r="G30" s="15" t="s">
        <v>87</v>
      </c>
    </row>
    <row r="31" spans="1:7" ht="16.5" customHeight="1" x14ac:dyDescent="0.45">
      <c r="A31" s="16" t="s">
        <v>88</v>
      </c>
      <c r="B31" s="23">
        <f>IFERROR('Datos Históricos'!B12/'Datos Históricos'!B6,"-")</f>
        <v>3.123578796175001E-2</v>
      </c>
      <c r="C31" s="23">
        <f>IFERROR('Datos Históricos'!C12/'Datos Históricos'!C6,"-")</f>
        <v>4.1622188264457544E-2</v>
      </c>
      <c r="D31" s="23">
        <f>IFERROR('Datos Históricos'!D12/'Datos Históricos'!D6,"-")</f>
        <v>-8.7483099976206249E-2</v>
      </c>
      <c r="E31" s="23">
        <f>IFERROR('Datos Históricos'!E12/'Datos Históricos'!E6,"-")</f>
        <v>6.1883185575334912E-2</v>
      </c>
      <c r="F31" s="23">
        <f>IFERROR('Datos Históricos'!F12/'Datos Históricos'!F6,"-")</f>
        <v>8.2448401759716489E-2</v>
      </c>
      <c r="G31" s="18" t="s">
        <v>89</v>
      </c>
    </row>
    <row r="32" spans="1:7" ht="16.5" customHeight="1" x14ac:dyDescent="0.45">
      <c r="A32" s="13" t="s">
        <v>90</v>
      </c>
      <c r="B32" s="20"/>
      <c r="C32" s="20"/>
      <c r="D32" s="20"/>
      <c r="E32" s="20"/>
      <c r="F32" s="20">
        <f>IFERROR('Datos Históricos'!F13/'Datos Históricos'!F6,"-")</f>
        <v>0.13484487794717975</v>
      </c>
      <c r="G32" s="15" t="s">
        <v>91</v>
      </c>
    </row>
    <row r="33" spans="1:7" ht="16.5" customHeight="1" x14ac:dyDescent="0.45">
      <c r="A33" s="16" t="s">
        <v>92</v>
      </c>
      <c r="B33" s="23">
        <f>IFERROR('Datos Históricos'!B18/'Datos Históricos'!B6,"-")</f>
        <v>1.2442925048188563E-2</v>
      </c>
      <c r="C33" s="23">
        <f>IFERROR('Datos Históricos'!C18/'Datos Históricos'!C6,"-")</f>
        <v>-8.1140180126936211E-3</v>
      </c>
      <c r="D33" s="23">
        <f>IFERROR('Datos Históricos'!D18/'Datos Históricos'!D6,"-")</f>
        <v>-0.12120442191648241</v>
      </c>
      <c r="E33" s="23">
        <f>IFERROR('Datos Históricos'!E18/'Datos Históricos'!E6,"-")</f>
        <v>5.6590643210311133E-2</v>
      </c>
      <c r="F33" s="23">
        <f>IFERROR('Datos Históricos'!F18/'Datos Históricos'!F6,"-")</f>
        <v>4.5564711095920557E-2</v>
      </c>
      <c r="G33" s="18" t="s">
        <v>93</v>
      </c>
    </row>
    <row r="34" spans="1:7" ht="16.5" customHeight="1" x14ac:dyDescent="0.45">
      <c r="A34" s="13" t="s">
        <v>94</v>
      </c>
      <c r="B34" s="20">
        <f>IFERROR('Datos Históricos'!B18/'Datos Históricos'!B22,"-")</f>
        <v>2.3271581393988609E-2</v>
      </c>
      <c r="C34" s="20">
        <f>IFERROR('Datos Históricos'!C18/'Datos Históricos'!C22,"-")</f>
        <v>-1.1991908226437174E-2</v>
      </c>
      <c r="D34" s="20">
        <f>IFERROR('Datos Históricos'!D18/'Datos Históricos'!D22,"-")</f>
        <v>-0.1320444994280173</v>
      </c>
      <c r="E34" s="20">
        <f>IFERROR('Datos Históricos'!E18/'Datos Históricos'!E22,"-")</f>
        <v>9.4642662451524015E-2</v>
      </c>
      <c r="F34" s="20">
        <f>IFERROR('Datos Históricos'!F18/'Datos Históricos'!F22,"-")</f>
        <v>8.5667095478672114E-2</v>
      </c>
      <c r="G34" s="15" t="s">
        <v>95</v>
      </c>
    </row>
    <row r="35" spans="1:7" ht="16.5" customHeight="1" x14ac:dyDescent="0.45">
      <c r="A35" s="16" t="s">
        <v>96</v>
      </c>
      <c r="B35" s="23">
        <f>IFERROR('Datos Históricos'!B18/'Datos Históricos'!B43,"-")</f>
        <v>0.11862827302193955</v>
      </c>
      <c r="C35" s="23">
        <f>IFERROR('Datos Históricos'!C18/'Datos Históricos'!C43,"-")</f>
        <v>-8.8675670128907924E-2</v>
      </c>
      <c r="D35" s="23">
        <f>IFERROR('Datos Históricos'!D18/'Datos Históricos'!D43,"-")</f>
        <v>8.1147184871473197</v>
      </c>
      <c r="E35" s="23">
        <f>IFERROR('Datos Históricos'!E18/'Datos Históricos'!E43,"-")</f>
        <v>2.8167980084874902</v>
      </c>
      <c r="F35" s="23">
        <f>IFERROR('Datos Históricos'!F18/'Datos Históricos'!F43,"-")</f>
        <v>1.0074428141609442</v>
      </c>
      <c r="G35" s="18" t="s">
        <v>97</v>
      </c>
    </row>
    <row r="36" spans="1:7" ht="16.5" customHeight="1" x14ac:dyDescent="0.45">
      <c r="A36" s="13" t="s">
        <v>98</v>
      </c>
      <c r="B36" s="20"/>
      <c r="C36" s="20">
        <f>IFERROR('Datos Históricos'!C6/'Datos Históricos'!B6-1,"-")</f>
        <v>0.1172541937986773</v>
      </c>
      <c r="D36" s="20">
        <f>IFERROR('Datos Históricos'!D6/'Datos Históricos'!C6-1,"-")</f>
        <v>-0.29563879725498976</v>
      </c>
      <c r="E36" s="20">
        <f>IFERROR('Datos Históricos'!E6/'Datos Históricos'!D6-1,"-")</f>
        <v>0.62942710197897345</v>
      </c>
      <c r="F36" s="20">
        <f>IFERROR('Datos Históricos'!F6/'Datos Históricos'!E6-1,"-")</f>
        <v>0.52966354983950725</v>
      </c>
      <c r="G36" s="15" t="s">
        <v>99</v>
      </c>
    </row>
  </sheetData>
  <mergeCells count="7">
    <mergeCell ref="A22:G22"/>
    <mergeCell ref="A29:G29"/>
    <mergeCell ref="A1:G1"/>
    <mergeCell ref="A2:G2"/>
    <mergeCell ref="A5:G5"/>
    <mergeCell ref="A11:G11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showGridLines="0" tabSelected="1" zoomScaleNormal="100" workbookViewId="0">
      <pane xSplit="2" ySplit="6" topLeftCell="C38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8.6640625" defaultRowHeight="14.25" x14ac:dyDescent="0.45"/>
  <cols>
    <col min="1" max="1" width="39.46484375" bestFit="1" customWidth="1"/>
    <col min="2" max="2" width="18" customWidth="1"/>
    <col min="3" max="10" width="13" customWidth="1"/>
  </cols>
  <sheetData>
    <row r="1" spans="1:10" ht="36" customHeight="1" x14ac:dyDescent="0.45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45">
      <c r="A2" s="3" t="s">
        <v>233</v>
      </c>
      <c r="B2" s="3"/>
      <c r="C2" s="3"/>
      <c r="D2" s="3"/>
      <c r="E2" s="3"/>
      <c r="F2" s="3"/>
      <c r="G2" s="3"/>
      <c r="H2" s="3"/>
      <c r="I2" s="3"/>
      <c r="J2" s="3"/>
    </row>
    <row r="4" spans="1:10" ht="19.5" customHeight="1" x14ac:dyDescent="0.45">
      <c r="A4" s="48" t="s">
        <v>101</v>
      </c>
      <c r="B4" s="48"/>
      <c r="C4" s="24"/>
      <c r="D4" s="24"/>
      <c r="E4" s="24"/>
      <c r="F4" s="24"/>
      <c r="G4" s="24"/>
      <c r="H4" s="24"/>
      <c r="I4" s="24"/>
      <c r="J4" s="24"/>
    </row>
    <row r="5" spans="1:10" ht="15.75" customHeight="1" x14ac:dyDescent="0.45">
      <c r="A5" s="16" t="s">
        <v>102</v>
      </c>
      <c r="B5" s="25">
        <v>0.12</v>
      </c>
    </row>
    <row r="6" spans="1:10" ht="15.75" customHeight="1" x14ac:dyDescent="0.45">
      <c r="A6" s="13" t="s">
        <v>103</v>
      </c>
      <c r="B6" s="25">
        <v>0.15</v>
      </c>
    </row>
    <row r="7" spans="1:10" ht="15.75" customHeight="1" x14ac:dyDescent="0.45">
      <c r="A7" s="16" t="s">
        <v>104</v>
      </c>
      <c r="B7" s="25">
        <v>0.18</v>
      </c>
    </row>
    <row r="8" spans="1:10" ht="15.75" customHeight="1" x14ac:dyDescent="0.45">
      <c r="A8" s="13" t="s">
        <v>105</v>
      </c>
      <c r="B8" s="25">
        <v>0.16</v>
      </c>
    </row>
    <row r="9" spans="1:10" ht="15.75" customHeight="1" x14ac:dyDescent="0.45">
      <c r="A9" s="16" t="s">
        <v>106</v>
      </c>
      <c r="B9" s="25">
        <v>0.14000000000000001</v>
      </c>
    </row>
    <row r="10" spans="1:10" ht="15.75" customHeight="1" x14ac:dyDescent="0.45">
      <c r="A10" s="13" t="s">
        <v>107</v>
      </c>
      <c r="B10" s="25">
        <v>0.12</v>
      </c>
    </row>
    <row r="11" spans="1:10" ht="15.75" customHeight="1" x14ac:dyDescent="0.45">
      <c r="A11" s="16" t="s">
        <v>108</v>
      </c>
      <c r="B11" s="25">
        <v>0.1</v>
      </c>
    </row>
    <row r="12" spans="1:10" ht="15.75" customHeight="1" x14ac:dyDescent="0.45">
      <c r="A12" s="13" t="s">
        <v>109</v>
      </c>
      <c r="B12" s="25">
        <v>0.11</v>
      </c>
    </row>
    <row r="13" spans="1:10" ht="15.75" customHeight="1" x14ac:dyDescent="0.45">
      <c r="A13" s="16" t="s">
        <v>110</v>
      </c>
      <c r="B13" s="25">
        <v>0.56999999999999995</v>
      </c>
    </row>
    <row r="14" spans="1:10" ht="15.75" customHeight="1" x14ac:dyDescent="0.45">
      <c r="A14" s="13" t="s">
        <v>111</v>
      </c>
      <c r="B14" s="25">
        <v>0.42</v>
      </c>
    </row>
    <row r="15" spans="1:10" ht="15.75" customHeight="1" x14ac:dyDescent="0.45">
      <c r="A15" s="16" t="s">
        <v>112</v>
      </c>
      <c r="B15" s="25">
        <v>0.03</v>
      </c>
    </row>
    <row r="16" spans="1:10" ht="15.75" customHeight="1" x14ac:dyDescent="0.45">
      <c r="A16" s="13" t="s">
        <v>113</v>
      </c>
      <c r="B16" s="25">
        <v>0.3</v>
      </c>
    </row>
    <row r="17" spans="1:10" ht="15.75" customHeight="1" x14ac:dyDescent="0.45">
      <c r="A17" s="16" t="s">
        <v>114</v>
      </c>
      <c r="B17" s="25">
        <v>0.45</v>
      </c>
    </row>
    <row r="18" spans="1:10" ht="15.75" customHeight="1" x14ac:dyDescent="0.45">
      <c r="A18" s="13" t="s">
        <v>115</v>
      </c>
      <c r="B18" s="25">
        <v>0.28000000000000003</v>
      </c>
    </row>
    <row r="19" spans="1:10" ht="15.75" customHeight="1" x14ac:dyDescent="0.45">
      <c r="A19" s="16" t="s">
        <v>116</v>
      </c>
      <c r="B19" s="25">
        <v>3.5000000000000003E-2</v>
      </c>
    </row>
    <row r="20" spans="1:10" ht="15.75" customHeight="1" x14ac:dyDescent="0.45">
      <c r="A20" s="13" t="s">
        <v>117</v>
      </c>
      <c r="B20" s="25">
        <v>0.32</v>
      </c>
    </row>
    <row r="21" spans="1:10" ht="15.75" customHeight="1" x14ac:dyDescent="0.45">
      <c r="A21" s="16" t="s">
        <v>118</v>
      </c>
      <c r="B21" s="25">
        <v>7.4999999999999997E-2</v>
      </c>
    </row>
    <row r="22" spans="1:10" ht="15.75" customHeight="1" x14ac:dyDescent="0.45">
      <c r="A22" s="13" t="s">
        <v>119</v>
      </c>
      <c r="B22" s="25">
        <v>0.15</v>
      </c>
    </row>
    <row r="23" spans="1:10" ht="15.75" customHeight="1" x14ac:dyDescent="0.45">
      <c r="A23" s="16" t="s">
        <v>120</v>
      </c>
      <c r="B23" s="26" t="s">
        <v>121</v>
      </c>
    </row>
    <row r="25" spans="1:10" ht="21.75" customHeight="1" x14ac:dyDescent="0.45">
      <c r="A25" s="11" t="s">
        <v>1</v>
      </c>
      <c r="B25" s="27" t="s">
        <v>122</v>
      </c>
      <c r="C25" s="6" t="s">
        <v>123</v>
      </c>
      <c r="D25" s="6" t="s">
        <v>124</v>
      </c>
      <c r="E25" s="6" t="s">
        <v>125</v>
      </c>
      <c r="F25" s="6" t="s">
        <v>126</v>
      </c>
      <c r="G25" s="6" t="s">
        <v>127</v>
      </c>
      <c r="H25" s="6" t="s">
        <v>128</v>
      </c>
      <c r="I25" s="6" t="s">
        <v>129</v>
      </c>
      <c r="J25" s="6" t="s">
        <v>130</v>
      </c>
    </row>
    <row r="26" spans="1:10" ht="16.5" customHeight="1" x14ac:dyDescent="0.45">
      <c r="A26" s="2" t="s">
        <v>131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ht="16.5" customHeight="1" x14ac:dyDescent="0.45">
      <c r="A27" s="13" t="s">
        <v>8</v>
      </c>
      <c r="B27" s="28">
        <f>'Datos Históricos'!F6</f>
        <v>594579.87</v>
      </c>
      <c r="C27" s="29">
        <f>B27*(1+$B$5)</f>
        <v>665929.45440000005</v>
      </c>
      <c r="D27" s="29">
        <f>C27*(1+$B$6)</f>
        <v>765818.87256000005</v>
      </c>
      <c r="E27" s="29">
        <f>D27*(1+$B$7)</f>
        <v>903666.26962080004</v>
      </c>
      <c r="F27" s="29">
        <f>E27*(1+$B$8)</f>
        <v>1048252.872760128</v>
      </c>
      <c r="G27" s="29">
        <f>F27*(1+$B$9)</f>
        <v>1195008.2749465459</v>
      </c>
      <c r="H27" s="29">
        <f>G27*(1+$B$10)</f>
        <v>1338409.2679401315</v>
      </c>
      <c r="I27" s="29">
        <f>H27*(1+$B$11)</f>
        <v>1472250.1947341447</v>
      </c>
      <c r="J27" s="29">
        <f>I27*(1+$B$12)</f>
        <v>1634197.7161549008</v>
      </c>
    </row>
    <row r="28" spans="1:10" ht="16.5" customHeight="1" x14ac:dyDescent="0.45">
      <c r="A28" s="7" t="s">
        <v>132</v>
      </c>
      <c r="B28" s="30">
        <f>'Datos Históricos'!F7</f>
        <v>-255932.16</v>
      </c>
      <c r="C28" s="31">
        <f>-C27*(1-$B$13)</f>
        <v>-286349.66539200005</v>
      </c>
      <c r="D28" s="31">
        <f t="shared" ref="C28:J28" si="0">-D27*(1-$B$13)</f>
        <v>-329302.11520080006</v>
      </c>
      <c r="E28" s="31">
        <f t="shared" si="0"/>
        <v>-388576.49593694403</v>
      </c>
      <c r="F28" s="31">
        <f t="shared" si="0"/>
        <v>-450748.73528685508</v>
      </c>
      <c r="G28" s="31">
        <f t="shared" si="0"/>
        <v>-513853.55822701484</v>
      </c>
      <c r="H28" s="31">
        <f t="shared" si="0"/>
        <v>-575515.98521425657</v>
      </c>
      <c r="I28" s="31">
        <f t="shared" si="0"/>
        <v>-633067.5837356823</v>
      </c>
      <c r="J28" s="31">
        <f t="shared" si="0"/>
        <v>-702705.01794660743</v>
      </c>
    </row>
    <row r="29" spans="1:10" ht="16.5" customHeight="1" x14ac:dyDescent="0.45">
      <c r="A29" s="13" t="s">
        <v>10</v>
      </c>
      <c r="B29" s="28">
        <f>'Datos Históricos'!F8</f>
        <v>338647.71</v>
      </c>
      <c r="C29" s="29">
        <f t="shared" ref="C29:J29" si="1">C27+C28</f>
        <v>379579.78900799999</v>
      </c>
      <c r="D29" s="29">
        <f t="shared" si="1"/>
        <v>436516.75735919998</v>
      </c>
      <c r="E29" s="29">
        <f t="shared" si="1"/>
        <v>515089.77368385601</v>
      </c>
      <c r="F29" s="29">
        <f t="shared" si="1"/>
        <v>597504.13747327286</v>
      </c>
      <c r="G29" s="29">
        <f t="shared" si="1"/>
        <v>681154.7167195311</v>
      </c>
      <c r="H29" s="29">
        <f t="shared" si="1"/>
        <v>762893.28272587492</v>
      </c>
      <c r="I29" s="29">
        <f t="shared" si="1"/>
        <v>839182.61099846242</v>
      </c>
      <c r="J29" s="29">
        <f t="shared" si="1"/>
        <v>931492.69820829341</v>
      </c>
    </row>
    <row r="30" spans="1:10" ht="16.5" customHeight="1" x14ac:dyDescent="0.45">
      <c r="A30" s="7" t="s">
        <v>133</v>
      </c>
      <c r="B30" s="30">
        <f>'Datos Históricos'!F9</f>
        <v>-286616.31</v>
      </c>
      <c r="C30" s="31">
        <f>-C27*$B$14</f>
        <v>-279690.37084799999</v>
      </c>
      <c r="D30" s="31">
        <f t="shared" ref="C30:J30" si="2">-D27*$B$14</f>
        <v>-321643.92647519999</v>
      </c>
      <c r="E30" s="31">
        <f t="shared" si="2"/>
        <v>-379539.83324073598</v>
      </c>
      <c r="F30" s="31">
        <f t="shared" si="2"/>
        <v>-440266.20655925374</v>
      </c>
      <c r="G30" s="31">
        <f t="shared" si="2"/>
        <v>-501903.47547754931</v>
      </c>
      <c r="H30" s="31">
        <f t="shared" si="2"/>
        <v>-562131.89253485517</v>
      </c>
      <c r="I30" s="31">
        <f t="shared" si="2"/>
        <v>-618345.08178834082</v>
      </c>
      <c r="J30" s="31">
        <f t="shared" si="2"/>
        <v>-686363.04078505829</v>
      </c>
    </row>
    <row r="31" spans="1:10" ht="16.5" customHeight="1" x14ac:dyDescent="0.45">
      <c r="A31" s="9" t="s">
        <v>134</v>
      </c>
      <c r="B31" s="32">
        <f>'Datos Históricos'!F12</f>
        <v>49022.16</v>
      </c>
      <c r="C31" s="33">
        <f t="shared" ref="C31:J31" si="3">C29+C30</f>
        <v>99889.418160000001</v>
      </c>
      <c r="D31" s="33">
        <f t="shared" si="3"/>
        <v>114872.830884</v>
      </c>
      <c r="E31" s="33">
        <f t="shared" si="3"/>
        <v>135549.94044312002</v>
      </c>
      <c r="F31" s="33">
        <f t="shared" si="3"/>
        <v>157237.93091401912</v>
      </c>
      <c r="G31" s="33">
        <f t="shared" si="3"/>
        <v>179251.2412419818</v>
      </c>
      <c r="H31" s="33">
        <f t="shared" si="3"/>
        <v>200761.39019101975</v>
      </c>
      <c r="I31" s="33">
        <f t="shared" si="3"/>
        <v>220837.5292101216</v>
      </c>
      <c r="J31" s="33">
        <f t="shared" si="3"/>
        <v>245129.65742323513</v>
      </c>
    </row>
    <row r="32" spans="1:10" ht="16.5" customHeight="1" x14ac:dyDescent="0.45">
      <c r="A32" s="7" t="s">
        <v>135</v>
      </c>
      <c r="B32" s="30">
        <f>'Datos Históricos'!F14</f>
        <v>-17898.66</v>
      </c>
      <c r="C32" s="31">
        <f t="shared" ref="C32:J32" si="4">-C27*$B$15</f>
        <v>-19977.883632000001</v>
      </c>
      <c r="D32" s="31">
        <f t="shared" si="4"/>
        <v>-22974.566176799999</v>
      </c>
      <c r="E32" s="31">
        <f t="shared" si="4"/>
        <v>-27109.988088623999</v>
      </c>
      <c r="F32" s="31">
        <f t="shared" si="4"/>
        <v>-31447.58618280384</v>
      </c>
      <c r="G32" s="31">
        <f t="shared" si="4"/>
        <v>-35850.248248396376</v>
      </c>
      <c r="H32" s="31">
        <f t="shared" si="4"/>
        <v>-40152.278038203942</v>
      </c>
      <c r="I32" s="31">
        <f t="shared" si="4"/>
        <v>-44167.505842024337</v>
      </c>
      <c r="J32" s="31">
        <f t="shared" si="4"/>
        <v>-49025.931484647022</v>
      </c>
    </row>
    <row r="33" spans="1:11" ht="16.5" customHeight="1" x14ac:dyDescent="0.45">
      <c r="A33" s="13" t="s">
        <v>136</v>
      </c>
      <c r="B33" s="34"/>
      <c r="C33" s="29">
        <f t="shared" ref="C33:J33" si="5">C31+C32</f>
        <v>79911.534528000004</v>
      </c>
      <c r="D33" s="29">
        <f t="shared" si="5"/>
        <v>91898.264707199996</v>
      </c>
      <c r="E33" s="29">
        <f t="shared" si="5"/>
        <v>108439.95235449602</v>
      </c>
      <c r="F33" s="29">
        <f t="shared" si="5"/>
        <v>125790.34473121527</v>
      </c>
      <c r="G33" s="29">
        <f t="shared" si="5"/>
        <v>143400.99299358542</v>
      </c>
      <c r="H33" s="29">
        <f t="shared" si="5"/>
        <v>160609.1121528158</v>
      </c>
      <c r="I33" s="29">
        <f t="shared" si="5"/>
        <v>176670.02336809726</v>
      </c>
      <c r="J33" s="29">
        <f t="shared" si="5"/>
        <v>196103.72593858809</v>
      </c>
    </row>
    <row r="34" spans="1:11" ht="16.5" customHeight="1" x14ac:dyDescent="0.45">
      <c r="A34" s="7" t="s">
        <v>137</v>
      </c>
      <c r="B34" s="35"/>
      <c r="C34" s="31">
        <f t="shared" ref="C34:J34" si="6">IFERROR(-MAX(0,C33)*$B$16,0)</f>
        <v>-23973.4603584</v>
      </c>
      <c r="D34" s="31">
        <f t="shared" si="6"/>
        <v>-27569.479412159999</v>
      </c>
      <c r="E34" s="31">
        <f t="shared" si="6"/>
        <v>-32531.985706348805</v>
      </c>
      <c r="F34" s="31">
        <f t="shared" si="6"/>
        <v>-37737.103419364583</v>
      </c>
      <c r="G34" s="31">
        <f t="shared" si="6"/>
        <v>-43020.297898075623</v>
      </c>
      <c r="H34" s="31">
        <f t="shared" si="6"/>
        <v>-48182.733645844739</v>
      </c>
      <c r="I34" s="31">
        <f t="shared" si="6"/>
        <v>-53001.007010429174</v>
      </c>
      <c r="J34" s="31">
        <f t="shared" si="6"/>
        <v>-58831.117781576424</v>
      </c>
    </row>
    <row r="35" spans="1:11" ht="16.5" customHeight="1" x14ac:dyDescent="0.45">
      <c r="A35" s="9" t="s">
        <v>20</v>
      </c>
      <c r="B35" s="32">
        <f>'Datos Históricos'!F18</f>
        <v>27091.86</v>
      </c>
      <c r="C35" s="33">
        <f t="shared" ref="C35:J35" si="7">C33+C34</f>
        <v>55938.074169600004</v>
      </c>
      <c r="D35" s="33">
        <f t="shared" si="7"/>
        <v>64328.785295039997</v>
      </c>
      <c r="E35" s="33">
        <f t="shared" si="7"/>
        <v>75907.966648147223</v>
      </c>
      <c r="F35" s="33">
        <f t="shared" si="7"/>
        <v>88053.241311850696</v>
      </c>
      <c r="G35" s="33">
        <f t="shared" si="7"/>
        <v>100380.69509550979</v>
      </c>
      <c r="H35" s="33">
        <f t="shared" si="7"/>
        <v>112426.37850697106</v>
      </c>
      <c r="I35" s="33">
        <f t="shared" si="7"/>
        <v>123669.01635766809</v>
      </c>
      <c r="J35" s="33">
        <f t="shared" si="7"/>
        <v>137272.60815701168</v>
      </c>
    </row>
    <row r="36" spans="1:11" ht="16.5" customHeight="1" x14ac:dyDescent="0.45">
      <c r="A36" s="36"/>
      <c r="B36" s="36"/>
      <c r="C36" s="36"/>
      <c r="D36" s="36"/>
      <c r="E36" s="36"/>
      <c r="F36" s="36"/>
      <c r="G36" s="36"/>
      <c r="H36" s="36"/>
      <c r="I36" s="36"/>
      <c r="J36" s="36"/>
    </row>
    <row r="37" spans="1:11" ht="16.5" customHeight="1" x14ac:dyDescent="0.45">
      <c r="A37" s="48" t="s">
        <v>138</v>
      </c>
      <c r="B37" s="49" t="s">
        <v>122</v>
      </c>
      <c r="C37" s="49" t="s">
        <v>123</v>
      </c>
      <c r="D37" s="49" t="s">
        <v>124</v>
      </c>
      <c r="E37" s="49" t="s">
        <v>125</v>
      </c>
      <c r="F37" s="49" t="s">
        <v>126</v>
      </c>
      <c r="G37" s="49" t="s">
        <v>127</v>
      </c>
      <c r="H37" s="49" t="s">
        <v>128</v>
      </c>
      <c r="I37" s="49" t="s">
        <v>129</v>
      </c>
      <c r="J37" s="49" t="s">
        <v>130</v>
      </c>
      <c r="K37" s="50"/>
    </row>
    <row r="38" spans="1:11" ht="16.5" customHeight="1" x14ac:dyDescent="0.45">
      <c r="A38" s="13" t="s">
        <v>23</v>
      </c>
      <c r="B38" s="28">
        <f>'Datos Históricos'!F22</f>
        <v>316245.81</v>
      </c>
      <c r="C38" s="29">
        <f t="shared" ref="C38:J38" si="8">C27*$B$17</f>
        <v>299668.25448</v>
      </c>
      <c r="D38" s="29">
        <f t="shared" si="8"/>
        <v>344618.49265200004</v>
      </c>
      <c r="E38" s="29">
        <f t="shared" si="8"/>
        <v>406649.82132936001</v>
      </c>
      <c r="F38" s="29">
        <f t="shared" si="8"/>
        <v>471713.79274205759</v>
      </c>
      <c r="G38" s="29">
        <f t="shared" si="8"/>
        <v>537753.72372594569</v>
      </c>
      <c r="H38" s="29">
        <f t="shared" si="8"/>
        <v>602284.17057305924</v>
      </c>
      <c r="I38" s="29">
        <f t="shared" si="8"/>
        <v>662512.58763036516</v>
      </c>
      <c r="J38" s="29">
        <f t="shared" si="8"/>
        <v>735388.97226970538</v>
      </c>
    </row>
    <row r="39" spans="1:11" ht="16.5" customHeight="1" x14ac:dyDescent="0.45">
      <c r="A39" s="7" t="s">
        <v>139</v>
      </c>
      <c r="B39" s="30">
        <f>'Datos Históricos'!F29</f>
        <v>90456.78</v>
      </c>
      <c r="C39" s="31">
        <f t="shared" ref="C39:J39" si="9">-C28*$B$20</f>
        <v>91631.892925440014</v>
      </c>
      <c r="D39" s="31">
        <f t="shared" si="9"/>
        <v>105376.67686425602</v>
      </c>
      <c r="E39" s="31">
        <f t="shared" si="9"/>
        <v>124344.4786998221</v>
      </c>
      <c r="F39" s="31">
        <f t="shared" si="9"/>
        <v>144239.59529179364</v>
      </c>
      <c r="G39" s="31">
        <f t="shared" si="9"/>
        <v>164433.13863264475</v>
      </c>
      <c r="H39" s="31">
        <f t="shared" si="9"/>
        <v>184165.11526856211</v>
      </c>
      <c r="I39" s="31">
        <f t="shared" si="9"/>
        <v>202581.62679541833</v>
      </c>
      <c r="J39" s="31">
        <f t="shared" si="9"/>
        <v>224865.60574291437</v>
      </c>
    </row>
    <row r="40" spans="1:11" ht="16.5" customHeight="1" x14ac:dyDescent="0.45">
      <c r="A40" s="7" t="s">
        <v>140</v>
      </c>
      <c r="B40" s="30">
        <f>'Datos Históricos'!F30</f>
        <v>46115.73</v>
      </c>
      <c r="C40" s="31">
        <f t="shared" ref="C40:J40" si="10">C27*$B$21</f>
        <v>49944.709080000001</v>
      </c>
      <c r="D40" s="31">
        <f t="shared" si="10"/>
        <v>57436.415442000005</v>
      </c>
      <c r="E40" s="31">
        <f t="shared" si="10"/>
        <v>67774.970221559997</v>
      </c>
      <c r="F40" s="31">
        <f t="shared" si="10"/>
        <v>78618.965457009603</v>
      </c>
      <c r="G40" s="31">
        <f t="shared" si="10"/>
        <v>89625.620620990943</v>
      </c>
      <c r="H40" s="31">
        <f t="shared" si="10"/>
        <v>100380.69509550986</v>
      </c>
      <c r="I40" s="31">
        <f t="shared" si="10"/>
        <v>110418.76460506085</v>
      </c>
      <c r="J40" s="31">
        <f t="shared" si="10"/>
        <v>122564.82871161756</v>
      </c>
    </row>
    <row r="41" spans="1:11" ht="16.5" customHeight="1" x14ac:dyDescent="0.45">
      <c r="A41" s="7" t="s">
        <v>141</v>
      </c>
      <c r="B41" s="30">
        <f>'Datos Históricos'!F31</f>
        <v>10820.09</v>
      </c>
      <c r="C41" s="31">
        <f t="shared" ref="C41:J41" si="11">C27*$B$19</f>
        <v>23307.530904000003</v>
      </c>
      <c r="D41" s="31">
        <f t="shared" si="11"/>
        <v>26803.660539600005</v>
      </c>
      <c r="E41" s="31">
        <f t="shared" si="11"/>
        <v>31628.319436728005</v>
      </c>
      <c r="F41" s="31">
        <f t="shared" si="11"/>
        <v>36688.850546604481</v>
      </c>
      <c r="G41" s="31">
        <f t="shared" si="11"/>
        <v>41825.289623129109</v>
      </c>
      <c r="H41" s="31">
        <f t="shared" si="11"/>
        <v>46844.32437790461</v>
      </c>
      <c r="I41" s="31">
        <f t="shared" si="11"/>
        <v>51528.756815695073</v>
      </c>
      <c r="J41" s="31">
        <f t="shared" si="11"/>
        <v>57196.920065421538</v>
      </c>
    </row>
    <row r="42" spans="1:11" ht="16.5" customHeight="1" x14ac:dyDescent="0.45">
      <c r="A42" s="13" t="s">
        <v>142</v>
      </c>
      <c r="B42" s="28">
        <f>'Datos Históricos'!F40+'Datos Históricos'!F37</f>
        <v>88204.700000000012</v>
      </c>
      <c r="C42" s="29">
        <f t="shared" ref="C42:J42" si="12">C38*$B$18</f>
        <v>83907.111254400006</v>
      </c>
      <c r="D42" s="29">
        <f t="shared" si="12"/>
        <v>96493.177942560025</v>
      </c>
      <c r="E42" s="29">
        <f t="shared" si="12"/>
        <v>113861.94997222081</v>
      </c>
      <c r="F42" s="29">
        <f t="shared" si="12"/>
        <v>132079.86196777615</v>
      </c>
      <c r="G42" s="29">
        <f t="shared" si="12"/>
        <v>150571.04264326481</v>
      </c>
      <c r="H42" s="29">
        <f t="shared" si="12"/>
        <v>168639.56776045662</v>
      </c>
      <c r="I42" s="29">
        <f t="shared" si="12"/>
        <v>185503.52453650226</v>
      </c>
      <c r="J42" s="29">
        <f t="shared" si="12"/>
        <v>205908.91223551752</v>
      </c>
    </row>
    <row r="43" spans="1:11" ht="16.5" customHeight="1" x14ac:dyDescent="0.45">
      <c r="A43" s="7" t="s">
        <v>143</v>
      </c>
      <c r="B43" s="30">
        <f>'Datos Históricos'!F41</f>
        <v>42367.85</v>
      </c>
      <c r="C43" s="31">
        <f t="shared" ref="C43:J43" si="13">-C28*$B$22</f>
        <v>42952.449808800004</v>
      </c>
      <c r="D43" s="31">
        <f t="shared" si="13"/>
        <v>49395.317280120005</v>
      </c>
      <c r="E43" s="31">
        <f t="shared" si="13"/>
        <v>58286.474390541603</v>
      </c>
      <c r="F43" s="31">
        <f t="shared" si="13"/>
        <v>67612.310293028262</v>
      </c>
      <c r="G43" s="31">
        <f t="shared" si="13"/>
        <v>77078.033734052224</v>
      </c>
      <c r="H43" s="31">
        <f t="shared" si="13"/>
        <v>86327.397782138476</v>
      </c>
      <c r="I43" s="31">
        <f t="shared" si="13"/>
        <v>94960.137560352348</v>
      </c>
      <c r="J43" s="31">
        <f t="shared" si="13"/>
        <v>105405.75269199112</v>
      </c>
    </row>
    <row r="44" spans="1:11" ht="16.5" customHeight="1" x14ac:dyDescent="0.45">
      <c r="A44" s="9" t="s">
        <v>144</v>
      </c>
      <c r="B44" s="32">
        <f>'Datos Históricos'!F43</f>
        <v>26891.71</v>
      </c>
      <c r="C44" s="33">
        <f t="shared" ref="C44:J44" si="14">C38-C42*2</f>
        <v>131854.03197119999</v>
      </c>
      <c r="D44" s="33">
        <f t="shared" si="14"/>
        <v>151632.13676687999</v>
      </c>
      <c r="E44" s="33">
        <f t="shared" si="14"/>
        <v>178925.92138491839</v>
      </c>
      <c r="F44" s="33">
        <f t="shared" si="14"/>
        <v>207554.0688065053</v>
      </c>
      <c r="G44" s="33">
        <f t="shared" si="14"/>
        <v>236611.63843941607</v>
      </c>
      <c r="H44" s="33">
        <f t="shared" si="14"/>
        <v>265005.03505214601</v>
      </c>
      <c r="I44" s="33">
        <f t="shared" si="14"/>
        <v>291505.53855736065</v>
      </c>
      <c r="J44" s="33">
        <f t="shared" si="14"/>
        <v>323571.14779867034</v>
      </c>
    </row>
    <row r="45" spans="1:11" ht="16.5" customHeight="1" x14ac:dyDescent="0.45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1" ht="16.5" customHeight="1" x14ac:dyDescent="0.45">
      <c r="A46" s="48" t="s">
        <v>145</v>
      </c>
      <c r="B46" s="49" t="s">
        <v>122</v>
      </c>
      <c r="C46" s="49" t="s">
        <v>123</v>
      </c>
      <c r="D46" s="49" t="s">
        <v>124</v>
      </c>
      <c r="E46" s="49" t="s">
        <v>125</v>
      </c>
      <c r="F46" s="49" t="s">
        <v>126</v>
      </c>
      <c r="G46" s="49" t="s">
        <v>127</v>
      </c>
      <c r="H46" s="49" t="s">
        <v>128</v>
      </c>
      <c r="I46" s="49" t="s">
        <v>129</v>
      </c>
      <c r="J46" s="49" t="s">
        <v>130</v>
      </c>
    </row>
    <row r="47" spans="1:11" ht="16.5" customHeight="1" x14ac:dyDescent="0.45">
      <c r="A47" s="13" t="s">
        <v>98</v>
      </c>
      <c r="B47" s="37"/>
      <c r="C47" s="20">
        <f>$B$5</f>
        <v>0.12</v>
      </c>
      <c r="D47" s="20">
        <f>$B$6</f>
        <v>0.15</v>
      </c>
      <c r="E47" s="20">
        <f>$B$7</f>
        <v>0.18</v>
      </c>
      <c r="F47" s="20">
        <f>$B$8</f>
        <v>0.16</v>
      </c>
      <c r="G47" s="20">
        <f>$B$9</f>
        <v>0.14000000000000001</v>
      </c>
      <c r="H47" s="20">
        <f>$B$10</f>
        <v>0.12</v>
      </c>
      <c r="I47" s="20">
        <f>$B$11</f>
        <v>0.1</v>
      </c>
      <c r="J47" s="20">
        <f>$B$12</f>
        <v>0.11</v>
      </c>
    </row>
    <row r="48" spans="1:11" ht="16.5" customHeight="1" x14ac:dyDescent="0.45">
      <c r="A48" s="7" t="s">
        <v>146</v>
      </c>
      <c r="B48" s="38">
        <f>Indicadores!F30</f>
        <v>0.56955798049469797</v>
      </c>
      <c r="C48" s="39">
        <f t="shared" ref="C48:J48" si="15">$B$13</f>
        <v>0.56999999999999995</v>
      </c>
      <c r="D48" s="39">
        <f t="shared" si="15"/>
        <v>0.56999999999999995</v>
      </c>
      <c r="E48" s="39">
        <f t="shared" si="15"/>
        <v>0.56999999999999995</v>
      </c>
      <c r="F48" s="39">
        <f t="shared" si="15"/>
        <v>0.56999999999999995</v>
      </c>
      <c r="G48" s="39">
        <f t="shared" si="15"/>
        <v>0.56999999999999995</v>
      </c>
      <c r="H48" s="39">
        <f t="shared" si="15"/>
        <v>0.56999999999999995</v>
      </c>
      <c r="I48" s="39">
        <f t="shared" si="15"/>
        <v>0.56999999999999995</v>
      </c>
      <c r="J48" s="39">
        <f t="shared" si="15"/>
        <v>0.56999999999999995</v>
      </c>
    </row>
    <row r="49" spans="1:10" ht="16.5" customHeight="1" x14ac:dyDescent="0.45">
      <c r="A49" s="13" t="s">
        <v>147</v>
      </c>
      <c r="B49" s="38">
        <f>Indicadores!F31</f>
        <v>8.2448401759716489E-2</v>
      </c>
      <c r="C49" s="20">
        <f t="shared" ref="C49:J49" si="16">IFERROR(C31/C27,"-")</f>
        <v>0.15</v>
      </c>
      <c r="D49" s="20">
        <f t="shared" si="16"/>
        <v>0.15</v>
      </c>
      <c r="E49" s="20">
        <f t="shared" si="16"/>
        <v>0.15000000000000002</v>
      </c>
      <c r="F49" s="20">
        <f t="shared" si="16"/>
        <v>0.14999999999999991</v>
      </c>
      <c r="G49" s="20">
        <f t="shared" si="16"/>
        <v>0.14999999999999991</v>
      </c>
      <c r="H49" s="20">
        <f t="shared" si="16"/>
        <v>0.15000000000000002</v>
      </c>
      <c r="I49" s="20">
        <f t="shared" si="16"/>
        <v>0.14999999999999994</v>
      </c>
      <c r="J49" s="20">
        <f t="shared" si="16"/>
        <v>0.15</v>
      </c>
    </row>
    <row r="50" spans="1:10" ht="16.5" customHeight="1" x14ac:dyDescent="0.45">
      <c r="A50" s="7" t="s">
        <v>148</v>
      </c>
      <c r="B50" s="38">
        <f>Indicadores!F33</f>
        <v>4.5564711095920557E-2</v>
      </c>
      <c r="C50" s="39">
        <f t="shared" ref="C50:J50" si="17">IFERROR(C35/C27,"-")</f>
        <v>8.4000000000000005E-2</v>
      </c>
      <c r="D50" s="39">
        <f t="shared" si="17"/>
        <v>8.3999999999999991E-2</v>
      </c>
      <c r="E50" s="39">
        <f t="shared" si="17"/>
        <v>8.4000000000000019E-2</v>
      </c>
      <c r="F50" s="39">
        <f t="shared" si="17"/>
        <v>8.399999999999995E-2</v>
      </c>
      <c r="G50" s="39">
        <f t="shared" si="17"/>
        <v>8.3999999999999936E-2</v>
      </c>
      <c r="H50" s="39">
        <f t="shared" si="17"/>
        <v>8.4000000000000005E-2</v>
      </c>
      <c r="I50" s="39">
        <f t="shared" si="17"/>
        <v>8.3999999999999964E-2</v>
      </c>
      <c r="J50" s="39">
        <f t="shared" si="17"/>
        <v>8.4000000000000005E-2</v>
      </c>
    </row>
    <row r="51" spans="1:10" ht="16.5" customHeight="1" x14ac:dyDescent="0.45">
      <c r="A51" s="13" t="s">
        <v>149</v>
      </c>
      <c r="B51" s="37">
        <f>Indicadores!F34</f>
        <v>8.5667095478672114E-2</v>
      </c>
      <c r="C51" s="20">
        <f t="shared" ref="C51:J51" si="18">IFERROR(C35/C38,"-")</f>
        <v>0.18666666666666668</v>
      </c>
      <c r="D51" s="20">
        <f t="shared" si="18"/>
        <v>0.18666666666666665</v>
      </c>
      <c r="E51" s="20">
        <f t="shared" si="18"/>
        <v>0.18666666666666673</v>
      </c>
      <c r="F51" s="20">
        <f t="shared" si="18"/>
        <v>0.18666666666666656</v>
      </c>
      <c r="G51" s="20">
        <f t="shared" si="18"/>
        <v>0.18666666666666654</v>
      </c>
      <c r="H51" s="20">
        <f t="shared" si="18"/>
        <v>0.18666666666666668</v>
      </c>
      <c r="I51" s="20">
        <f t="shared" si="18"/>
        <v>0.18666666666666656</v>
      </c>
      <c r="J51" s="20">
        <f t="shared" si="18"/>
        <v>0.18666666666666668</v>
      </c>
    </row>
    <row r="52" spans="1:10" ht="16.5" customHeight="1" x14ac:dyDescent="0.45">
      <c r="A52" s="7" t="s">
        <v>150</v>
      </c>
      <c r="B52" s="37">
        <f>Indicadores!F35</f>
        <v>1.0074428141609442</v>
      </c>
      <c r="C52" s="39">
        <f t="shared" ref="C52:J52" si="19">IFERROR(C35/C44,"-")</f>
        <v>0.42424242424242431</v>
      </c>
      <c r="D52" s="39">
        <f t="shared" si="19"/>
        <v>0.42424242424242425</v>
      </c>
      <c r="E52" s="39">
        <f t="shared" si="19"/>
        <v>0.42424242424242442</v>
      </c>
      <c r="F52" s="39">
        <f t="shared" si="19"/>
        <v>0.42424242424242409</v>
      </c>
      <c r="G52" s="39">
        <f t="shared" si="19"/>
        <v>0.42424242424242398</v>
      </c>
      <c r="H52" s="39">
        <f t="shared" si="19"/>
        <v>0.42424242424242431</v>
      </c>
      <c r="I52" s="39">
        <f t="shared" si="19"/>
        <v>0.42424242424242403</v>
      </c>
      <c r="J52" s="39">
        <f t="shared" si="19"/>
        <v>0.42424242424242431</v>
      </c>
    </row>
    <row r="53" spans="1:10" ht="16.5" customHeight="1" x14ac:dyDescent="0.45">
      <c r="A53" s="13" t="s">
        <v>151</v>
      </c>
      <c r="B53" s="37">
        <f>Indicadores!F20</f>
        <v>0.11567903460918581</v>
      </c>
      <c r="C53" s="20">
        <f t="shared" ref="C53:J53" si="20">IFERROR(C42/C38,"-")</f>
        <v>0.28000000000000003</v>
      </c>
      <c r="D53" s="20">
        <f t="shared" si="20"/>
        <v>0.28000000000000003</v>
      </c>
      <c r="E53" s="20">
        <f t="shared" si="20"/>
        <v>0.28000000000000003</v>
      </c>
      <c r="F53" s="20">
        <f t="shared" si="20"/>
        <v>0.28000000000000003</v>
      </c>
      <c r="G53" s="20">
        <f t="shared" si="20"/>
        <v>0.28000000000000003</v>
      </c>
      <c r="H53" s="20">
        <f t="shared" si="20"/>
        <v>0.28000000000000003</v>
      </c>
      <c r="I53" s="20">
        <f t="shared" si="20"/>
        <v>0.28000000000000003</v>
      </c>
      <c r="J53" s="20">
        <f t="shared" si="20"/>
        <v>0.28000000000000003</v>
      </c>
    </row>
    <row r="54" spans="1:10" ht="16.5" customHeight="1" x14ac:dyDescent="0.45">
      <c r="A54" s="7" t="s">
        <v>152</v>
      </c>
      <c r="B54" s="38">
        <f>Indicadores!F12</f>
        <v>0.91496579828203883</v>
      </c>
      <c r="C54" s="39">
        <f t="shared" ref="C54:J54" si="21">IFERROR(1-1/$B$17,"-")</f>
        <v>-1.2222222222222223</v>
      </c>
      <c r="D54" s="39">
        <f t="shared" si="21"/>
        <v>-1.2222222222222223</v>
      </c>
      <c r="E54" s="39">
        <f t="shared" si="21"/>
        <v>-1.2222222222222223</v>
      </c>
      <c r="F54" s="39">
        <f t="shared" si="21"/>
        <v>-1.2222222222222223</v>
      </c>
      <c r="G54" s="39">
        <f t="shared" si="21"/>
        <v>-1.2222222222222223</v>
      </c>
      <c r="H54" s="39">
        <f t="shared" si="21"/>
        <v>-1.2222222222222223</v>
      </c>
      <c r="I54" s="39">
        <f t="shared" si="21"/>
        <v>-1.2222222222222223</v>
      </c>
      <c r="J54" s="39">
        <f t="shared" si="21"/>
        <v>-1.2222222222222223</v>
      </c>
    </row>
    <row r="55" spans="1:10" ht="16.5" customHeight="1" x14ac:dyDescent="0.45">
      <c r="A55" s="13" t="s">
        <v>153</v>
      </c>
      <c r="B55" s="40">
        <f>Indicadores!F19</f>
        <v>2.7388731893895968</v>
      </c>
      <c r="C55" s="14">
        <f t="shared" ref="C55:J55" si="22">IFERROR(C31/-C32,"-")</f>
        <v>5</v>
      </c>
      <c r="D55" s="14">
        <f t="shared" si="22"/>
        <v>5</v>
      </c>
      <c r="E55" s="14">
        <f t="shared" si="22"/>
        <v>5.0000000000000009</v>
      </c>
      <c r="F55" s="14">
        <f t="shared" si="22"/>
        <v>4.9999999999999973</v>
      </c>
      <c r="G55" s="14">
        <f t="shared" si="22"/>
        <v>4.9999999999999973</v>
      </c>
      <c r="H55" s="14">
        <f t="shared" si="22"/>
        <v>5.0000000000000009</v>
      </c>
      <c r="I55" s="14">
        <f t="shared" si="22"/>
        <v>4.9999999999999982</v>
      </c>
      <c r="J55" s="14">
        <f t="shared" si="22"/>
        <v>5</v>
      </c>
    </row>
  </sheetData>
  <mergeCells count="3">
    <mergeCell ref="A1:J1"/>
    <mergeCell ref="A2:J2"/>
    <mergeCell ref="A26:J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showGridLines="0" zoomScaleNormal="100" workbookViewId="0">
      <selection activeCell="D6" sqref="D6"/>
    </sheetView>
  </sheetViews>
  <sheetFormatPr baseColWidth="10" defaultColWidth="8.6640625" defaultRowHeight="14.25" x14ac:dyDescent="0.45"/>
  <cols>
    <col min="1" max="1" width="28" customWidth="1"/>
    <col min="2" max="2" width="40" customWidth="1"/>
    <col min="3" max="3" width="20" customWidth="1"/>
    <col min="4" max="4" width="24" customWidth="1"/>
  </cols>
  <sheetData>
    <row r="1" spans="1:4" ht="31.5" customHeight="1" x14ac:dyDescent="0.45">
      <c r="A1" s="1" t="s">
        <v>154</v>
      </c>
      <c r="B1" s="1"/>
      <c r="C1" s="1"/>
      <c r="D1" s="1"/>
    </row>
    <row r="2" spans="1:4" x14ac:dyDescent="0.45">
      <c r="A2" s="6" t="s">
        <v>47</v>
      </c>
      <c r="B2" s="6" t="s">
        <v>155</v>
      </c>
      <c r="C2" s="6" t="s">
        <v>156</v>
      </c>
      <c r="D2" s="6" t="s">
        <v>157</v>
      </c>
    </row>
    <row r="3" spans="1:4" ht="21.75" customHeight="1" x14ac:dyDescent="0.45">
      <c r="A3" s="41" t="s">
        <v>158</v>
      </c>
      <c r="B3" s="42" t="s">
        <v>159</v>
      </c>
      <c r="C3" s="42" t="s">
        <v>160</v>
      </c>
      <c r="D3" s="42" t="s">
        <v>161</v>
      </c>
    </row>
    <row r="4" spans="1:4" ht="23.25" x14ac:dyDescent="0.45">
      <c r="A4" s="43" t="s">
        <v>162</v>
      </c>
      <c r="B4" s="44" t="s">
        <v>234</v>
      </c>
      <c r="C4" s="44" t="s">
        <v>163</v>
      </c>
      <c r="D4" s="44" t="s">
        <v>164</v>
      </c>
    </row>
    <row r="5" spans="1:4" ht="21.75" customHeight="1" x14ac:dyDescent="0.45">
      <c r="A5" s="41" t="s">
        <v>165</v>
      </c>
      <c r="B5" s="42" t="s">
        <v>166</v>
      </c>
      <c r="C5" s="42" t="s">
        <v>167</v>
      </c>
      <c r="D5" s="42" t="s">
        <v>168</v>
      </c>
    </row>
    <row r="6" spans="1:4" ht="21.75" customHeight="1" x14ac:dyDescent="0.45">
      <c r="A6" s="43" t="s">
        <v>169</v>
      </c>
      <c r="B6" s="44" t="s">
        <v>170</v>
      </c>
      <c r="C6" s="44" t="s">
        <v>171</v>
      </c>
      <c r="D6" s="44" t="s">
        <v>172</v>
      </c>
    </row>
    <row r="7" spans="1:4" ht="21.75" customHeight="1" x14ac:dyDescent="0.45">
      <c r="A7" s="41" t="s">
        <v>173</v>
      </c>
      <c r="B7" s="42" t="s">
        <v>174</v>
      </c>
      <c r="C7" s="42" t="s">
        <v>175</v>
      </c>
      <c r="D7" s="42" t="s">
        <v>176</v>
      </c>
    </row>
    <row r="8" spans="1:4" ht="21.75" customHeight="1" x14ac:dyDescent="0.45">
      <c r="A8" s="43" t="s">
        <v>177</v>
      </c>
      <c r="B8" s="44" t="s">
        <v>178</v>
      </c>
      <c r="C8" s="44" t="s">
        <v>179</v>
      </c>
      <c r="D8" s="44" t="s">
        <v>180</v>
      </c>
    </row>
    <row r="9" spans="1:4" ht="21.75" customHeight="1" x14ac:dyDescent="0.45">
      <c r="A9" s="41" t="s">
        <v>181</v>
      </c>
      <c r="B9" s="42" t="s">
        <v>182</v>
      </c>
      <c r="C9" s="42" t="s">
        <v>183</v>
      </c>
      <c r="D9" s="42" t="s">
        <v>184</v>
      </c>
    </row>
    <row r="10" spans="1:4" ht="21.75" customHeight="1" x14ac:dyDescent="0.45">
      <c r="A10" s="43" t="s">
        <v>185</v>
      </c>
      <c r="B10" s="44" t="s">
        <v>186</v>
      </c>
      <c r="C10" s="44" t="s">
        <v>187</v>
      </c>
      <c r="D10" s="44" t="s">
        <v>188</v>
      </c>
    </row>
    <row r="11" spans="1:4" ht="21.75" customHeight="1" x14ac:dyDescent="0.45">
      <c r="A11" s="41" t="s">
        <v>189</v>
      </c>
      <c r="B11" s="42" t="s">
        <v>190</v>
      </c>
      <c r="C11" s="42" t="s">
        <v>191</v>
      </c>
      <c r="D11" s="42" t="s">
        <v>192</v>
      </c>
    </row>
    <row r="12" spans="1:4" ht="21.75" customHeight="1" x14ac:dyDescent="0.45">
      <c r="A12" s="43" t="s">
        <v>193</v>
      </c>
      <c r="B12" s="44" t="s">
        <v>194</v>
      </c>
      <c r="C12" s="44" t="s">
        <v>195</v>
      </c>
      <c r="D12" s="44" t="s">
        <v>196</v>
      </c>
    </row>
    <row r="13" spans="1:4" ht="21.75" customHeight="1" x14ac:dyDescent="0.45">
      <c r="A13" s="41" t="s">
        <v>197</v>
      </c>
      <c r="B13" s="42" t="s">
        <v>198</v>
      </c>
      <c r="C13" s="42" t="s">
        <v>199</v>
      </c>
      <c r="D13" s="42" t="s">
        <v>200</v>
      </c>
    </row>
    <row r="14" spans="1:4" ht="21.75" customHeight="1" x14ac:dyDescent="0.45">
      <c r="A14" s="43" t="s">
        <v>201</v>
      </c>
      <c r="B14" s="44" t="s">
        <v>202</v>
      </c>
      <c r="C14" s="44" t="s">
        <v>203</v>
      </c>
      <c r="D14" s="44" t="s">
        <v>204</v>
      </c>
    </row>
    <row r="15" spans="1:4" ht="21.75" customHeight="1" x14ac:dyDescent="0.45">
      <c r="A15" s="41" t="s">
        <v>205</v>
      </c>
      <c r="B15" s="42" t="s">
        <v>206</v>
      </c>
      <c r="C15" s="42" t="s">
        <v>207</v>
      </c>
      <c r="D15" s="42" t="s">
        <v>208</v>
      </c>
    </row>
    <row r="16" spans="1:4" ht="21.75" customHeight="1" x14ac:dyDescent="0.45">
      <c r="A16" s="43" t="s">
        <v>146</v>
      </c>
      <c r="B16" s="44" t="s">
        <v>209</v>
      </c>
      <c r="C16" s="44" t="s">
        <v>210</v>
      </c>
      <c r="D16" s="44" t="s">
        <v>211</v>
      </c>
    </row>
    <row r="17" spans="1:4" ht="21.75" customHeight="1" x14ac:dyDescent="0.45">
      <c r="A17" s="41" t="s">
        <v>147</v>
      </c>
      <c r="B17" s="42" t="s">
        <v>212</v>
      </c>
      <c r="C17" s="42" t="s">
        <v>213</v>
      </c>
      <c r="D17" s="42" t="s">
        <v>214</v>
      </c>
    </row>
    <row r="18" spans="1:4" ht="21.75" customHeight="1" x14ac:dyDescent="0.45">
      <c r="A18" s="43" t="s">
        <v>215</v>
      </c>
      <c r="B18" s="44" t="s">
        <v>216</v>
      </c>
      <c r="C18" s="44" t="s">
        <v>217</v>
      </c>
      <c r="D18" s="44" t="s">
        <v>218</v>
      </c>
    </row>
    <row r="19" spans="1:4" ht="21.75" customHeight="1" x14ac:dyDescent="0.45">
      <c r="A19" s="41" t="s">
        <v>148</v>
      </c>
      <c r="B19" s="42" t="s">
        <v>219</v>
      </c>
      <c r="C19" s="42" t="s">
        <v>220</v>
      </c>
      <c r="D19" s="42" t="s">
        <v>221</v>
      </c>
    </row>
    <row r="20" spans="1:4" ht="21.75" customHeight="1" x14ac:dyDescent="0.45">
      <c r="A20" s="43" t="s">
        <v>149</v>
      </c>
      <c r="B20" s="44" t="s">
        <v>222</v>
      </c>
      <c r="C20" s="44" t="s">
        <v>223</v>
      </c>
      <c r="D20" s="44" t="s">
        <v>224</v>
      </c>
    </row>
    <row r="21" spans="1:4" ht="21.75" customHeight="1" x14ac:dyDescent="0.45">
      <c r="A21" s="41" t="s">
        <v>150</v>
      </c>
      <c r="B21" s="42" t="s">
        <v>225</v>
      </c>
      <c r="C21" s="42" t="s">
        <v>226</v>
      </c>
      <c r="D21" s="42" t="s">
        <v>227</v>
      </c>
    </row>
    <row r="22" spans="1:4" ht="21.75" customHeight="1" x14ac:dyDescent="0.45">
      <c r="A22" s="43" t="s">
        <v>98</v>
      </c>
      <c r="B22" s="44" t="s">
        <v>228</v>
      </c>
      <c r="C22" s="44" t="s">
        <v>229</v>
      </c>
      <c r="D22" s="44" t="s">
        <v>230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Históricos</vt:lpstr>
      <vt:lpstr>Indicadores</vt:lpstr>
      <vt:lpstr>Proyección 2023-2030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Isabella Villota Benavides</cp:lastModifiedBy>
  <cp:revision>0</cp:revision>
  <dcterms:created xsi:type="dcterms:W3CDTF">2026-04-19T00:44:43Z</dcterms:created>
  <dcterms:modified xsi:type="dcterms:W3CDTF">2026-04-19T01:30:27Z</dcterms:modified>
  <dc:language>en-US</dc:language>
</cp:coreProperties>
</file>